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c\Downloads\OWL AI\"/>
    </mc:Choice>
  </mc:AlternateContent>
  <xr:revisionPtr revIDLastSave="0" documentId="13_ncr:1_{7C4C6BFF-F2B6-4F01-B769-CD71197FDC19}" xr6:coauthVersionLast="47" xr6:coauthVersionMax="47" xr10:uidLastSave="{00000000-0000-0000-0000-000000000000}"/>
  <bookViews>
    <workbookView xWindow="-108" yWindow="-108" windowWidth="23256" windowHeight="12456" activeTab="5" xr2:uid="{47FDF02F-DEEB-4A26-99E5-95C1CFA43FF8}"/>
  </bookViews>
  <sheets>
    <sheet name="Chart-2" sheetId="5" r:id="rId1"/>
    <sheet name="Chart-1" sheetId="4" r:id="rId2"/>
    <sheet name="Data Entry" sheetId="1" r:id="rId3"/>
    <sheet name="SUM,SUMIF,AVERAGE,AVERAGEIF" sheetId="2" r:id="rId4"/>
    <sheet name="PIVOT TABLE" sheetId="8" r:id="rId5"/>
    <sheet name="COUNT,COUNTIF" sheetId="7" r:id="rId6"/>
  </sheets>
  <definedNames>
    <definedName name="_xlnm._FilterDatabase" localSheetId="2" hidden="1">'Data Entry'!$C$5:$E$105</definedName>
    <definedName name="_xlnm._FilterDatabase" localSheetId="3" hidden="1">'SUM,SUMIF,AVERAGE,AVERAGEIF'!$B$2:$D$102</definedName>
  </definedNames>
  <calcPr calcId="191029"/>
  <pivotCaches>
    <pivotCache cacheId="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7" l="1"/>
  <c r="K21" i="7"/>
  <c r="K20" i="7"/>
  <c r="K17" i="7"/>
  <c r="K16" i="7"/>
  <c r="K15" i="7"/>
  <c r="J22" i="7"/>
  <c r="J17" i="7"/>
  <c r="J21" i="7"/>
  <c r="J20" i="7"/>
  <c r="J16" i="7"/>
  <c r="J15" i="7"/>
  <c r="J23" i="2"/>
  <c r="J22" i="2"/>
  <c r="J21" i="2"/>
  <c r="J17" i="2"/>
  <c r="J16" i="2"/>
  <c r="J15" i="2"/>
</calcChain>
</file>

<file path=xl/sharedStrings.xml><?xml version="1.0" encoding="utf-8"?>
<sst xmlns="http://schemas.openxmlformats.org/spreadsheetml/2006/main" count="45" uniqueCount="24">
  <si>
    <t>TASK-1</t>
  </si>
  <si>
    <t>Data Entry</t>
  </si>
  <si>
    <t>Raw Data</t>
  </si>
  <si>
    <t>number_courses</t>
  </si>
  <si>
    <t>time_study</t>
  </si>
  <si>
    <t>Marks</t>
  </si>
  <si>
    <t>I column indicates Number of courses opted by the student</t>
  </si>
  <si>
    <t>II column indicates Average Time Studied per day by the student</t>
  </si>
  <si>
    <t>III column indicates Marks Obtained by the student</t>
  </si>
  <si>
    <t>Detail Info</t>
  </si>
  <si>
    <t>Data Source: Kaggle</t>
  </si>
  <si>
    <t>Row Labels</t>
  </si>
  <si>
    <t>Grand Total</t>
  </si>
  <si>
    <t>Summation Value</t>
  </si>
  <si>
    <t>Total Number of Courses opted</t>
  </si>
  <si>
    <t>Average study time</t>
  </si>
  <si>
    <t>Total Marks Obtained</t>
  </si>
  <si>
    <t>SUM &amp; AVERAGE</t>
  </si>
  <si>
    <t>SUMIF  &amp; AVERAGEIF</t>
  </si>
  <si>
    <t>Sum of number_courses</t>
  </si>
  <si>
    <t>COUNT</t>
  </si>
  <si>
    <t>If any field becomes absent then:</t>
  </si>
  <si>
    <t>Absent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</si>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</sst>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1" fillId="9" borderId="5" xfId="0" applyFont="1" applyFill="1" applyBorder="1"/>
    <xf numFmtId="0" fontId="1" fillId="9" borderId="6" xfId="0" applyFont="1" applyFill="1" applyBorder="1"/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1" xfId="0" applyFont="1" applyFill="1" applyBorder="1"/>
    <xf numFmtId="0" fontId="0" fillId="5" borderId="1" xfId="0" applyFill="1" applyBorder="1"/>
    <xf numFmtId="0" fontId="0" fillId="2" borderId="1" xfId="0" applyFill="1" applyBorder="1"/>
    <xf numFmtId="0" fontId="0" fillId="0" borderId="0" xfId="0" applyNumberFormat="1"/>
    <xf numFmtId="0" fontId="0" fillId="11" borderId="1" xfId="0" applyFill="1" applyBorder="1"/>
    <xf numFmtId="0" fontId="0" fillId="11" borderId="1" xfId="0" applyFill="1" applyBorder="1"/>
    <xf numFmtId="0" fontId="0" fillId="11" borderId="5" xfId="0" applyFill="1" applyBorder="1"/>
    <xf numFmtId="0" fontId="0" fillId="11" borderId="2" xfId="0" applyFill="1" applyBorder="1"/>
    <xf numFmtId="0" fontId="0" fillId="11" borderId="6" xfId="0" applyFill="1" applyBorder="1"/>
    <xf numFmtId="0" fontId="0" fillId="12" borderId="4" xfId="0" applyFill="1" applyBorder="1"/>
    <xf numFmtId="0" fontId="0" fillId="12" borderId="1" xfId="0" applyFill="1" applyBorder="1"/>
    <xf numFmtId="0" fontId="0" fillId="5" borderId="7" xfId="0" applyFill="1" applyBorder="1"/>
    <xf numFmtId="0" fontId="0" fillId="5" borderId="7" xfId="0" applyFill="1" applyBorder="1"/>
    <xf numFmtId="0" fontId="0" fillId="4" borderId="8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3" xfId="0" applyFill="1" applyBorder="1"/>
    <xf numFmtId="0" fontId="0" fillId="12" borderId="12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pivotCacheDefinition" Target="pivotCache/pivotCacheDefinition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880796150481193E-2"/>
          <c:y val="0.14393518518518519"/>
          <c:w val="0.90297462817147855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'SUM,SUMIF,AVERAGE,AVERAGEIF'!$D$2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'SUM,SUMIF,AVERAGE,AVERAGEIF'!$D$3:$D$102</c:f>
              <c:numCache>
                <c:formatCode>General</c:formatCode>
                <c:ptCount val="100"/>
                <c:pt idx="0">
                  <c:v>19.202000000000002</c:v>
                </c:pt>
                <c:pt idx="1">
                  <c:v>7.734</c:v>
                </c:pt>
                <c:pt idx="2">
                  <c:v>13.811</c:v>
                </c:pt>
                <c:pt idx="3">
                  <c:v>53.018000000000001</c:v>
                </c:pt>
                <c:pt idx="4">
                  <c:v>55.298999999999999</c:v>
                </c:pt>
                <c:pt idx="5">
                  <c:v>17.821999999999999</c:v>
                </c:pt>
                <c:pt idx="6">
                  <c:v>29.888999999999999</c:v>
                </c:pt>
                <c:pt idx="7">
                  <c:v>17.263999999999999</c:v>
                </c:pt>
                <c:pt idx="8">
                  <c:v>20.347999999999999</c:v>
                </c:pt>
                <c:pt idx="9">
                  <c:v>30.861999999999998</c:v>
                </c:pt>
                <c:pt idx="10">
                  <c:v>42.036000000000001</c:v>
                </c:pt>
                <c:pt idx="11">
                  <c:v>12.132</c:v>
                </c:pt>
                <c:pt idx="12">
                  <c:v>24.318000000000001</c:v>
                </c:pt>
                <c:pt idx="13">
                  <c:v>17.672000000000001</c:v>
                </c:pt>
                <c:pt idx="14">
                  <c:v>11.397</c:v>
                </c:pt>
                <c:pt idx="15">
                  <c:v>19.466000000000001</c:v>
                </c:pt>
                <c:pt idx="16">
                  <c:v>30.547999999999998</c:v>
                </c:pt>
                <c:pt idx="17">
                  <c:v>38.49</c:v>
                </c:pt>
                <c:pt idx="18">
                  <c:v>50.985999999999997</c:v>
                </c:pt>
                <c:pt idx="19">
                  <c:v>25.132999999999999</c:v>
                </c:pt>
                <c:pt idx="20">
                  <c:v>22.073</c:v>
                </c:pt>
                <c:pt idx="21">
                  <c:v>35.939</c:v>
                </c:pt>
                <c:pt idx="22">
                  <c:v>12.209</c:v>
                </c:pt>
                <c:pt idx="23">
                  <c:v>28.042999999999999</c:v>
                </c:pt>
                <c:pt idx="24">
                  <c:v>16.516999999999999</c:v>
                </c:pt>
                <c:pt idx="25">
                  <c:v>6.6230000000000002</c:v>
                </c:pt>
                <c:pt idx="26">
                  <c:v>12.647</c:v>
                </c:pt>
                <c:pt idx="27">
                  <c:v>26.532</c:v>
                </c:pt>
                <c:pt idx="28">
                  <c:v>9.3330000000000002</c:v>
                </c:pt>
                <c:pt idx="29">
                  <c:v>8.8369999999999997</c:v>
                </c:pt>
                <c:pt idx="30">
                  <c:v>24.172000000000001</c:v>
                </c:pt>
                <c:pt idx="31">
                  <c:v>8.1</c:v>
                </c:pt>
                <c:pt idx="32">
                  <c:v>15.038</c:v>
                </c:pt>
                <c:pt idx="33">
                  <c:v>39.965000000000003</c:v>
                </c:pt>
                <c:pt idx="34">
                  <c:v>17.170999999999999</c:v>
                </c:pt>
                <c:pt idx="35">
                  <c:v>43.978000000000002</c:v>
                </c:pt>
                <c:pt idx="36">
                  <c:v>13.119</c:v>
                </c:pt>
                <c:pt idx="37">
                  <c:v>46.453000000000003</c:v>
                </c:pt>
                <c:pt idx="38">
                  <c:v>41.357999999999997</c:v>
                </c:pt>
                <c:pt idx="39">
                  <c:v>51.142000000000003</c:v>
                </c:pt>
                <c:pt idx="40">
                  <c:v>7.3360000000000003</c:v>
                </c:pt>
                <c:pt idx="41">
                  <c:v>15.725</c:v>
                </c:pt>
                <c:pt idx="42">
                  <c:v>19.771000000000001</c:v>
                </c:pt>
                <c:pt idx="43">
                  <c:v>10.429</c:v>
                </c:pt>
                <c:pt idx="44">
                  <c:v>9.7420000000000009</c:v>
                </c:pt>
                <c:pt idx="45">
                  <c:v>8.9239999999999995</c:v>
                </c:pt>
                <c:pt idx="46">
                  <c:v>16.702999999999999</c:v>
                </c:pt>
                <c:pt idx="47">
                  <c:v>22.701000000000001</c:v>
                </c:pt>
                <c:pt idx="48">
                  <c:v>26.882000000000001</c:v>
                </c:pt>
                <c:pt idx="49">
                  <c:v>19.106000000000002</c:v>
                </c:pt>
                <c:pt idx="50">
                  <c:v>40.601999999999997</c:v>
                </c:pt>
                <c:pt idx="51">
                  <c:v>22.184000000000001</c:v>
                </c:pt>
                <c:pt idx="52">
                  <c:v>7.8920000000000003</c:v>
                </c:pt>
                <c:pt idx="53">
                  <c:v>36.652999999999999</c:v>
                </c:pt>
                <c:pt idx="54">
                  <c:v>53.158000000000001</c:v>
                </c:pt>
                <c:pt idx="55">
                  <c:v>18.238</c:v>
                </c:pt>
                <c:pt idx="56">
                  <c:v>53.359000000000002</c:v>
                </c:pt>
                <c:pt idx="57">
                  <c:v>51.582999999999998</c:v>
                </c:pt>
                <c:pt idx="58">
                  <c:v>31.236000000000001</c:v>
                </c:pt>
                <c:pt idx="59">
                  <c:v>51.343000000000004</c:v>
                </c:pt>
                <c:pt idx="60">
                  <c:v>10.522</c:v>
                </c:pt>
                <c:pt idx="61">
                  <c:v>10.843999999999999</c:v>
                </c:pt>
                <c:pt idx="62">
                  <c:v>19.59</c:v>
                </c:pt>
                <c:pt idx="63">
                  <c:v>21.379000000000001</c:v>
                </c:pt>
                <c:pt idx="64">
                  <c:v>12.590999999999999</c:v>
                </c:pt>
                <c:pt idx="65">
                  <c:v>13.561999999999999</c:v>
                </c:pt>
                <c:pt idx="66">
                  <c:v>27.568999999999999</c:v>
                </c:pt>
                <c:pt idx="67">
                  <c:v>6.1849999999999996</c:v>
                </c:pt>
                <c:pt idx="68">
                  <c:v>8.92</c:v>
                </c:pt>
                <c:pt idx="69">
                  <c:v>21.4</c:v>
                </c:pt>
                <c:pt idx="70">
                  <c:v>16.606000000000002</c:v>
                </c:pt>
                <c:pt idx="71">
                  <c:v>13.416</c:v>
                </c:pt>
                <c:pt idx="72">
                  <c:v>20.398</c:v>
                </c:pt>
                <c:pt idx="73">
                  <c:v>7.0140000000000002</c:v>
                </c:pt>
                <c:pt idx="74">
                  <c:v>39.951999999999998</c:v>
                </c:pt>
                <c:pt idx="75">
                  <c:v>6.2169999999999996</c:v>
                </c:pt>
                <c:pt idx="76">
                  <c:v>36.746000000000002</c:v>
                </c:pt>
                <c:pt idx="77">
                  <c:v>38.277999999999999</c:v>
                </c:pt>
                <c:pt idx="78">
                  <c:v>49.543999999999997</c:v>
                </c:pt>
                <c:pt idx="79">
                  <c:v>6.3490000000000002</c:v>
                </c:pt>
                <c:pt idx="80">
                  <c:v>54.320999999999998</c:v>
                </c:pt>
                <c:pt idx="81">
                  <c:v>17.704999999999998</c:v>
                </c:pt>
                <c:pt idx="82">
                  <c:v>44.098999999999997</c:v>
                </c:pt>
                <c:pt idx="83">
                  <c:v>16.106000000000002</c:v>
                </c:pt>
                <c:pt idx="84">
                  <c:v>16.460999999999999</c:v>
                </c:pt>
                <c:pt idx="85">
                  <c:v>39.957000000000001</c:v>
                </c:pt>
                <c:pt idx="86">
                  <c:v>23.149000000000001</c:v>
                </c:pt>
                <c:pt idx="87">
                  <c:v>6.0529999999999999</c:v>
                </c:pt>
                <c:pt idx="88">
                  <c:v>11.253</c:v>
                </c:pt>
                <c:pt idx="89">
                  <c:v>40.024000000000001</c:v>
                </c:pt>
                <c:pt idx="90">
                  <c:v>24.393999999999998</c:v>
                </c:pt>
                <c:pt idx="91">
                  <c:v>19.564</c:v>
                </c:pt>
                <c:pt idx="92">
                  <c:v>23.916</c:v>
                </c:pt>
                <c:pt idx="93">
                  <c:v>42.426000000000002</c:v>
                </c:pt>
                <c:pt idx="94">
                  <c:v>24.451000000000001</c:v>
                </c:pt>
                <c:pt idx="95">
                  <c:v>19.128</c:v>
                </c:pt>
                <c:pt idx="96">
                  <c:v>5.609</c:v>
                </c:pt>
                <c:pt idx="97">
                  <c:v>41.444000000000003</c:v>
                </c:pt>
                <c:pt idx="98">
                  <c:v>12.026999999999999</c:v>
                </c:pt>
                <c:pt idx="99">
                  <c:v>32.356999999999999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B-4A0B-9496-9611466A0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251487"/>
        <c:axId val="1635248127"/>
      </c:lineChart>
      <c:catAx>
        <c:axId val="163525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48127"/>
        <c:crosses val="autoZero"/>
        <c:auto val="1"/>
        <c:lblAlgn val="ctr"/>
        <c:lblOffset val="100"/>
        <c:noMultiLvlLbl val="0"/>
      </c:catAx>
      <c:valAx>
        <c:axId val="16352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5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Entry'!$C$2:$C$5</c:f>
              <c:strCache>
                <c:ptCount val="4"/>
                <c:pt idx="0">
                  <c:v>Data Entry</c:v>
                </c:pt>
                <c:pt idx="2">
                  <c:v>Raw Data</c:v>
                </c:pt>
                <c:pt idx="3">
                  <c:v>number_courses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Entry'!$C$6:$C$105</c:f>
              <c:numCache>
                <c:formatCode>General</c:formatCode>
                <c:ptCount val="10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  <c:pt idx="12">
                  <c:v>7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8</c:v>
                </c:pt>
                <c:pt idx="20">
                  <c:v>4</c:v>
                </c:pt>
                <c:pt idx="21">
                  <c:v>6</c:v>
                </c:pt>
                <c:pt idx="22">
                  <c:v>5</c:v>
                </c:pt>
                <c:pt idx="23">
                  <c:v>7</c:v>
                </c:pt>
                <c:pt idx="24">
                  <c:v>4</c:v>
                </c:pt>
                <c:pt idx="25">
                  <c:v>3</c:v>
                </c:pt>
                <c:pt idx="26">
                  <c:v>7</c:v>
                </c:pt>
                <c:pt idx="27">
                  <c:v>8</c:v>
                </c:pt>
                <c:pt idx="28">
                  <c:v>5</c:v>
                </c:pt>
                <c:pt idx="29">
                  <c:v>4</c:v>
                </c:pt>
                <c:pt idx="30">
                  <c:v>8</c:v>
                </c:pt>
                <c:pt idx="31">
                  <c:v>3</c:v>
                </c:pt>
                <c:pt idx="32">
                  <c:v>8</c:v>
                </c:pt>
                <c:pt idx="33">
                  <c:v>6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6</c:v>
                </c:pt>
                <c:pt idx="38">
                  <c:v>7</c:v>
                </c:pt>
                <c:pt idx="39">
                  <c:v>6</c:v>
                </c:pt>
                <c:pt idx="40">
                  <c:v>4</c:v>
                </c:pt>
                <c:pt idx="41">
                  <c:v>6</c:v>
                </c:pt>
                <c:pt idx="42">
                  <c:v>6</c:v>
                </c:pt>
                <c:pt idx="43">
                  <c:v>5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4</c:v>
                </c:pt>
                <c:pt idx="53">
                  <c:v>7</c:v>
                </c:pt>
                <c:pt idx="54">
                  <c:v>8</c:v>
                </c:pt>
                <c:pt idx="55">
                  <c:v>7</c:v>
                </c:pt>
                <c:pt idx="56">
                  <c:v>8</c:v>
                </c:pt>
                <c:pt idx="57">
                  <c:v>7</c:v>
                </c:pt>
                <c:pt idx="58">
                  <c:v>3</c:v>
                </c:pt>
                <c:pt idx="59">
                  <c:v>8</c:v>
                </c:pt>
                <c:pt idx="60">
                  <c:v>6</c:v>
                </c:pt>
                <c:pt idx="61">
                  <c:v>4</c:v>
                </c:pt>
                <c:pt idx="62">
                  <c:v>6</c:v>
                </c:pt>
                <c:pt idx="63">
                  <c:v>3</c:v>
                </c:pt>
                <c:pt idx="64">
                  <c:v>7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6</c:v>
                </c:pt>
                <c:pt idx="70">
                  <c:v>4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3</c:v>
                </c:pt>
                <c:pt idx="76">
                  <c:v>5</c:v>
                </c:pt>
                <c:pt idx="77">
                  <c:v>8</c:v>
                </c:pt>
                <c:pt idx="78">
                  <c:v>7</c:v>
                </c:pt>
                <c:pt idx="79">
                  <c:v>3</c:v>
                </c:pt>
                <c:pt idx="80">
                  <c:v>7</c:v>
                </c:pt>
                <c:pt idx="81">
                  <c:v>8</c:v>
                </c:pt>
                <c:pt idx="82">
                  <c:v>4</c:v>
                </c:pt>
                <c:pt idx="83">
                  <c:v>5</c:v>
                </c:pt>
                <c:pt idx="84">
                  <c:v>8</c:v>
                </c:pt>
                <c:pt idx="85">
                  <c:v>8</c:v>
                </c:pt>
                <c:pt idx="86">
                  <c:v>7</c:v>
                </c:pt>
                <c:pt idx="87">
                  <c:v>3</c:v>
                </c:pt>
                <c:pt idx="88">
                  <c:v>5</c:v>
                </c:pt>
                <c:pt idx="89">
                  <c:v>7</c:v>
                </c:pt>
                <c:pt idx="90">
                  <c:v>7</c:v>
                </c:pt>
                <c:pt idx="91">
                  <c:v>8</c:v>
                </c:pt>
                <c:pt idx="92">
                  <c:v>4</c:v>
                </c:pt>
                <c:pt idx="93">
                  <c:v>8</c:v>
                </c:pt>
                <c:pt idx="94">
                  <c:v>8</c:v>
                </c:pt>
                <c:pt idx="95">
                  <c:v>6</c:v>
                </c:pt>
                <c:pt idx="96">
                  <c:v>3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7-4209-A0C8-930407ED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240927"/>
        <c:axId val="1635249087"/>
      </c:lineChart>
      <c:catAx>
        <c:axId val="16352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49087"/>
        <c:crosses val="autoZero"/>
        <c:auto val="1"/>
        <c:lblAlgn val="ctr"/>
        <c:lblOffset val="100"/>
        <c:noMultiLvlLbl val="0"/>
      </c:catAx>
      <c:valAx>
        <c:axId val="16352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4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TABLE'!$A$4:$A$10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66</c:v>
                </c:pt>
                <c:pt idx="1">
                  <c:v>84</c:v>
                </c:pt>
                <c:pt idx="2">
                  <c:v>50</c:v>
                </c:pt>
                <c:pt idx="3">
                  <c:v>96</c:v>
                </c:pt>
                <c:pt idx="4">
                  <c:v>105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F-407C-ABE1-B0263EE08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261087"/>
        <c:axId val="1635261567"/>
      </c:barChart>
      <c:catAx>
        <c:axId val="163526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61567"/>
        <c:crosses val="autoZero"/>
        <c:auto val="1"/>
        <c:lblAlgn val="ctr"/>
        <c:lblOffset val="100"/>
        <c:noMultiLvlLbl val="0"/>
      </c:catAx>
      <c:valAx>
        <c:axId val="16352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6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E9234D-421A-4D6B-BF42-A3810DAB00C3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CBC74F-024E-43B5-A750-6329427862A9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788A7-A4DB-D95F-4626-03979CE623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3FEE4-D7FB-959E-6051-F843C39ED3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1</xdr:row>
      <xdr:rowOff>179070</xdr:rowOff>
    </xdr:from>
    <xdr:to>
      <xdr:col>16</xdr:col>
      <xdr:colOff>7620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C9792-EFA3-ABDB-37BA-A72BCAECB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chal Tiwari" refreshedDate="46018.96915300926" createdVersion="8" refreshedVersion="8" minRefreshableVersion="3" recordCount="100" xr:uid="{2FBA8B06-330D-4A15-88B6-C5971982EF77}">
  <cacheSource type="worksheet">
    <worksheetSource ref="B3:D103" sheet="COUNT,COUNTIF"/>
  </cacheSource>
  <cacheFields count="3">
    <cacheField name="number_courses" numFmtId="0">
      <sharedItems containsSemiMixedTypes="0" containsString="0" containsNumber="1" containsInteger="1" minValue="3" maxValue="8" count="6">
        <n v="3"/>
        <n v="4"/>
        <n v="6"/>
        <n v="8"/>
        <n v="5"/>
        <n v="7"/>
      </sharedItems>
    </cacheField>
    <cacheField name="time_study" numFmtId="0">
      <sharedItems containsSemiMixedTypes="0" containsString="0" containsNumber="1" minValue="9.6000000000000002E-2" maxValue="7.9569999999999999" count="100">
        <n v="4.508"/>
        <n v="9.6000000000000002E-2"/>
        <n v="3.133"/>
        <n v="7.9089999999999998"/>
        <n v="7.8109999999999999"/>
        <n v="3.2109999999999999"/>
        <n v="6.0629999999999997"/>
        <n v="3.4129999999999998"/>
        <n v="4.41"/>
        <n v="6.173"/>
        <n v="7.3529999999999998"/>
        <n v="0.42299999999999999"/>
        <n v="4.218"/>
        <n v="4.274"/>
        <n v="2.9079999999999999"/>
        <n v="4.26"/>
        <n v="5.7190000000000003"/>
        <n v="6.08"/>
        <n v="7.7110000000000003"/>
        <n v="3.9769999999999999"/>
        <n v="4.7329999999999997"/>
        <n v="6.1260000000000003"/>
        <n v="2.0510000000000002"/>
        <n v="4.875"/>
        <n v="3.6349999999999998"/>
        <n v="1.407"/>
        <n v="0.50800000000000001"/>
        <n v="4.3780000000000001"/>
        <n v="0.156"/>
        <n v="1.2989999999999999"/>
        <n v="3.8639999999999999"/>
        <n v="1.923"/>
        <n v="0.93200000000000005"/>
        <n v="6.5940000000000003"/>
        <n v="4.0830000000000002"/>
        <n v="7.5430000000000001"/>
        <n v="2.9660000000000002"/>
        <n v="7.2830000000000004"/>
        <n v="6.5330000000000004"/>
        <n v="7.7750000000000004"/>
        <n v="0.14000000000000001"/>
        <n v="2.754"/>
        <n v="3.5910000000000002"/>
        <n v="1.5569999999999999"/>
        <n v="1.954"/>
        <n v="2.0609999999999999"/>
        <n v="3.7970000000000002"/>
        <n v="4.7789999999999999"/>
        <n v="5.6349999999999998"/>
        <n v="3.9129999999999998"/>
        <n v="6.7030000000000003"/>
        <n v="4.13"/>
        <n v="0.77100000000000002"/>
        <n v="6.0490000000000004"/>
        <n v="7.5910000000000002"/>
        <n v="2.9129999999999998"/>
        <n v="7.641"/>
        <n v="7.649"/>
        <n v="6.1980000000000004"/>
        <n v="7.468"/>
        <n v="0.376"/>
        <n v="2.4380000000000002"/>
        <n v="3.6059999999999999"/>
        <n v="4.8689999999999998"/>
        <n v="0.13"/>
        <n v="2.1419999999999999"/>
        <n v="5.4729999999999999"/>
        <n v="0.55000000000000004"/>
        <n v="1.395"/>
        <n v="3.948"/>
        <n v="3.7360000000000002"/>
        <n v="2.5179999999999998"/>
        <n v="4.633"/>
        <n v="1.629"/>
        <n v="6.9539999999999997"/>
        <n v="0.80300000000000005"/>
        <n v="6.3789999999999996"/>
        <n v="5.9850000000000003"/>
        <n v="7.4509999999999996"/>
        <n v="0.80500000000000005"/>
        <n v="7.9569999999999999"/>
        <n v="2.262"/>
        <n v="7.41"/>
        <n v="3.1970000000000001"/>
        <n v="1.982"/>
        <n v="6.2009999999999996"/>
        <n v="4.0670000000000002"/>
        <n v="1.0329999999999999"/>
        <n v="1.8029999999999999"/>
        <n v="6.3760000000000003"/>
        <n v="4.1820000000000004"/>
        <n v="2.73"/>
        <n v="5.0270000000000001"/>
        <n v="6.4710000000000001"/>
        <n v="3.919"/>
        <n v="3.5609999999999999"/>
        <n v="0.30099999999999999"/>
        <n v="7.1630000000000003"/>
        <n v="0.309"/>
        <n v="6.335"/>
      </sharedItems>
    </cacheField>
    <cacheField name="Marks" numFmtId="0">
      <sharedItems containsSemiMixedTypes="0" containsString="0" containsNumber="1" minValue="5.609" maxValue="55.298999999999999" count="100">
        <n v="19.202000000000002"/>
        <n v="7.734"/>
        <n v="13.811"/>
        <n v="53.018000000000001"/>
        <n v="55.298999999999999"/>
        <n v="17.821999999999999"/>
        <n v="29.888999999999999"/>
        <n v="17.263999999999999"/>
        <n v="20.347999999999999"/>
        <n v="30.861999999999998"/>
        <n v="42.036000000000001"/>
        <n v="12.132"/>
        <n v="24.318000000000001"/>
        <n v="17.672000000000001"/>
        <n v="11.397"/>
        <n v="19.466000000000001"/>
        <n v="30.547999999999998"/>
        <n v="38.49"/>
        <n v="50.985999999999997"/>
        <n v="25.132999999999999"/>
        <n v="22.073"/>
        <n v="35.939"/>
        <n v="12.209"/>
        <n v="28.042999999999999"/>
        <n v="16.516999999999999"/>
        <n v="6.6230000000000002"/>
        <n v="12.647"/>
        <n v="26.532"/>
        <n v="9.3330000000000002"/>
        <n v="8.8369999999999997"/>
        <n v="24.172000000000001"/>
        <n v="8.1"/>
        <n v="15.038"/>
        <n v="39.965000000000003"/>
        <n v="17.170999999999999"/>
        <n v="43.978000000000002"/>
        <n v="13.119"/>
        <n v="46.453000000000003"/>
        <n v="41.357999999999997"/>
        <n v="51.142000000000003"/>
        <n v="7.3360000000000003"/>
        <n v="15.725"/>
        <n v="19.771000000000001"/>
        <n v="10.429"/>
        <n v="9.7420000000000009"/>
        <n v="8.9239999999999995"/>
        <n v="16.702999999999999"/>
        <n v="22.701000000000001"/>
        <n v="26.882000000000001"/>
        <n v="19.106000000000002"/>
        <n v="40.601999999999997"/>
        <n v="22.184000000000001"/>
        <n v="7.8920000000000003"/>
        <n v="36.652999999999999"/>
        <n v="53.158000000000001"/>
        <n v="18.238"/>
        <n v="53.359000000000002"/>
        <n v="51.582999999999998"/>
        <n v="31.236000000000001"/>
        <n v="51.343000000000004"/>
        <n v="10.522"/>
        <n v="10.843999999999999"/>
        <n v="19.59"/>
        <n v="21.379000000000001"/>
        <n v="12.590999999999999"/>
        <n v="13.561999999999999"/>
        <n v="27.568999999999999"/>
        <n v="6.1849999999999996"/>
        <n v="8.92"/>
        <n v="21.4"/>
        <n v="16.606000000000002"/>
        <n v="13.416"/>
        <n v="20.398"/>
        <n v="7.0140000000000002"/>
        <n v="39.951999999999998"/>
        <n v="6.2169999999999996"/>
        <n v="36.746000000000002"/>
        <n v="38.277999999999999"/>
        <n v="49.543999999999997"/>
        <n v="6.3490000000000002"/>
        <n v="54.320999999999998"/>
        <n v="17.704999999999998"/>
        <n v="44.098999999999997"/>
        <n v="16.106000000000002"/>
        <n v="16.460999999999999"/>
        <n v="39.957000000000001"/>
        <n v="23.149000000000001"/>
        <n v="6.0529999999999999"/>
        <n v="11.253"/>
        <n v="40.024000000000001"/>
        <n v="24.393999999999998"/>
        <n v="19.564"/>
        <n v="23.916"/>
        <n v="42.426000000000002"/>
        <n v="24.451000000000001"/>
        <n v="19.128"/>
        <n v="5.609"/>
        <n v="41.444000000000003"/>
        <n v="12.026999999999999"/>
        <n v="32.3569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</r>
  <r>
    <x v="1"/>
    <x v="1"/>
    <x v="1"/>
  </r>
  <r>
    <x v="1"/>
    <x v="2"/>
    <x v="2"/>
  </r>
  <r>
    <x v="2"/>
    <x v="3"/>
    <x v="3"/>
  </r>
  <r>
    <x v="3"/>
    <x v="4"/>
    <x v="4"/>
  </r>
  <r>
    <x v="2"/>
    <x v="5"/>
    <x v="5"/>
  </r>
  <r>
    <x v="0"/>
    <x v="6"/>
    <x v="6"/>
  </r>
  <r>
    <x v="4"/>
    <x v="7"/>
    <x v="7"/>
  </r>
  <r>
    <x v="1"/>
    <x v="8"/>
    <x v="8"/>
  </r>
  <r>
    <x v="0"/>
    <x v="9"/>
    <x v="9"/>
  </r>
  <r>
    <x v="0"/>
    <x v="10"/>
    <x v="10"/>
  </r>
  <r>
    <x v="5"/>
    <x v="11"/>
    <x v="11"/>
  </r>
  <r>
    <x v="5"/>
    <x v="12"/>
    <x v="12"/>
  </r>
  <r>
    <x v="0"/>
    <x v="13"/>
    <x v="13"/>
  </r>
  <r>
    <x v="0"/>
    <x v="14"/>
    <x v="14"/>
  </r>
  <r>
    <x v="1"/>
    <x v="15"/>
    <x v="15"/>
  </r>
  <r>
    <x v="4"/>
    <x v="16"/>
    <x v="16"/>
  </r>
  <r>
    <x v="3"/>
    <x v="17"/>
    <x v="17"/>
  </r>
  <r>
    <x v="2"/>
    <x v="18"/>
    <x v="18"/>
  </r>
  <r>
    <x v="3"/>
    <x v="19"/>
    <x v="19"/>
  </r>
  <r>
    <x v="1"/>
    <x v="20"/>
    <x v="20"/>
  </r>
  <r>
    <x v="2"/>
    <x v="21"/>
    <x v="21"/>
  </r>
  <r>
    <x v="4"/>
    <x v="22"/>
    <x v="22"/>
  </r>
  <r>
    <x v="5"/>
    <x v="23"/>
    <x v="23"/>
  </r>
  <r>
    <x v="1"/>
    <x v="24"/>
    <x v="24"/>
  </r>
  <r>
    <x v="0"/>
    <x v="25"/>
    <x v="25"/>
  </r>
  <r>
    <x v="5"/>
    <x v="26"/>
    <x v="26"/>
  </r>
  <r>
    <x v="3"/>
    <x v="27"/>
    <x v="27"/>
  </r>
  <r>
    <x v="4"/>
    <x v="28"/>
    <x v="28"/>
  </r>
  <r>
    <x v="1"/>
    <x v="29"/>
    <x v="29"/>
  </r>
  <r>
    <x v="3"/>
    <x v="30"/>
    <x v="30"/>
  </r>
  <r>
    <x v="0"/>
    <x v="31"/>
    <x v="31"/>
  </r>
  <r>
    <x v="3"/>
    <x v="32"/>
    <x v="32"/>
  </r>
  <r>
    <x v="2"/>
    <x v="33"/>
    <x v="33"/>
  </r>
  <r>
    <x v="0"/>
    <x v="34"/>
    <x v="34"/>
  </r>
  <r>
    <x v="0"/>
    <x v="35"/>
    <x v="35"/>
  </r>
  <r>
    <x v="1"/>
    <x v="36"/>
    <x v="36"/>
  </r>
  <r>
    <x v="2"/>
    <x v="37"/>
    <x v="37"/>
  </r>
  <r>
    <x v="5"/>
    <x v="38"/>
    <x v="38"/>
  </r>
  <r>
    <x v="2"/>
    <x v="39"/>
    <x v="39"/>
  </r>
  <r>
    <x v="1"/>
    <x v="40"/>
    <x v="40"/>
  </r>
  <r>
    <x v="2"/>
    <x v="41"/>
    <x v="41"/>
  </r>
  <r>
    <x v="2"/>
    <x v="42"/>
    <x v="42"/>
  </r>
  <r>
    <x v="4"/>
    <x v="43"/>
    <x v="43"/>
  </r>
  <r>
    <x v="1"/>
    <x v="44"/>
    <x v="44"/>
  </r>
  <r>
    <x v="0"/>
    <x v="45"/>
    <x v="45"/>
  </r>
  <r>
    <x v="1"/>
    <x v="46"/>
    <x v="46"/>
  </r>
  <r>
    <x v="1"/>
    <x v="47"/>
    <x v="47"/>
  </r>
  <r>
    <x v="0"/>
    <x v="48"/>
    <x v="48"/>
  </r>
  <r>
    <x v="4"/>
    <x v="49"/>
    <x v="49"/>
  </r>
  <r>
    <x v="2"/>
    <x v="50"/>
    <x v="50"/>
  </r>
  <r>
    <x v="2"/>
    <x v="51"/>
    <x v="51"/>
  </r>
  <r>
    <x v="1"/>
    <x v="52"/>
    <x v="52"/>
  </r>
  <r>
    <x v="5"/>
    <x v="53"/>
    <x v="53"/>
  </r>
  <r>
    <x v="3"/>
    <x v="54"/>
    <x v="54"/>
  </r>
  <r>
    <x v="5"/>
    <x v="55"/>
    <x v="55"/>
  </r>
  <r>
    <x v="3"/>
    <x v="56"/>
    <x v="56"/>
  </r>
  <r>
    <x v="5"/>
    <x v="57"/>
    <x v="57"/>
  </r>
  <r>
    <x v="0"/>
    <x v="58"/>
    <x v="58"/>
  </r>
  <r>
    <x v="3"/>
    <x v="59"/>
    <x v="59"/>
  </r>
  <r>
    <x v="2"/>
    <x v="60"/>
    <x v="60"/>
  </r>
  <r>
    <x v="1"/>
    <x v="61"/>
    <x v="61"/>
  </r>
  <r>
    <x v="2"/>
    <x v="62"/>
    <x v="62"/>
  </r>
  <r>
    <x v="0"/>
    <x v="63"/>
    <x v="63"/>
  </r>
  <r>
    <x v="5"/>
    <x v="64"/>
    <x v="64"/>
  </r>
  <r>
    <x v="2"/>
    <x v="65"/>
    <x v="65"/>
  </r>
  <r>
    <x v="1"/>
    <x v="66"/>
    <x v="66"/>
  </r>
  <r>
    <x v="0"/>
    <x v="67"/>
    <x v="67"/>
  </r>
  <r>
    <x v="1"/>
    <x v="68"/>
    <x v="68"/>
  </r>
  <r>
    <x v="2"/>
    <x v="69"/>
    <x v="69"/>
  </r>
  <r>
    <x v="1"/>
    <x v="70"/>
    <x v="70"/>
  </r>
  <r>
    <x v="4"/>
    <x v="71"/>
    <x v="71"/>
  </r>
  <r>
    <x v="0"/>
    <x v="72"/>
    <x v="72"/>
  </r>
  <r>
    <x v="0"/>
    <x v="73"/>
    <x v="73"/>
  </r>
  <r>
    <x v="1"/>
    <x v="74"/>
    <x v="74"/>
  </r>
  <r>
    <x v="0"/>
    <x v="75"/>
    <x v="75"/>
  </r>
  <r>
    <x v="4"/>
    <x v="76"/>
    <x v="76"/>
  </r>
  <r>
    <x v="3"/>
    <x v="77"/>
    <x v="77"/>
  </r>
  <r>
    <x v="5"/>
    <x v="78"/>
    <x v="78"/>
  </r>
  <r>
    <x v="0"/>
    <x v="79"/>
    <x v="79"/>
  </r>
  <r>
    <x v="5"/>
    <x v="80"/>
    <x v="80"/>
  </r>
  <r>
    <x v="3"/>
    <x v="81"/>
    <x v="81"/>
  </r>
  <r>
    <x v="1"/>
    <x v="82"/>
    <x v="82"/>
  </r>
  <r>
    <x v="4"/>
    <x v="83"/>
    <x v="83"/>
  </r>
  <r>
    <x v="3"/>
    <x v="84"/>
    <x v="84"/>
  </r>
  <r>
    <x v="3"/>
    <x v="85"/>
    <x v="85"/>
  </r>
  <r>
    <x v="5"/>
    <x v="86"/>
    <x v="86"/>
  </r>
  <r>
    <x v="0"/>
    <x v="87"/>
    <x v="87"/>
  </r>
  <r>
    <x v="4"/>
    <x v="88"/>
    <x v="88"/>
  </r>
  <r>
    <x v="5"/>
    <x v="89"/>
    <x v="89"/>
  </r>
  <r>
    <x v="5"/>
    <x v="90"/>
    <x v="90"/>
  </r>
  <r>
    <x v="3"/>
    <x v="91"/>
    <x v="91"/>
  </r>
  <r>
    <x v="1"/>
    <x v="92"/>
    <x v="92"/>
  </r>
  <r>
    <x v="3"/>
    <x v="93"/>
    <x v="93"/>
  </r>
  <r>
    <x v="3"/>
    <x v="94"/>
    <x v="94"/>
  </r>
  <r>
    <x v="2"/>
    <x v="95"/>
    <x v="95"/>
  </r>
  <r>
    <x v="0"/>
    <x v="96"/>
    <x v="96"/>
  </r>
  <r>
    <x v="1"/>
    <x v="97"/>
    <x v="97"/>
  </r>
  <r>
    <x v="5"/>
    <x v="98"/>
    <x v="98"/>
  </r>
  <r>
    <x v="0"/>
    <x v="99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27F10-11D7-4D7A-81E5-59775B4500B5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3">
    <pivotField axis="axisRow" dataField="1"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101">
        <item x="1"/>
        <item x="64"/>
        <item x="40"/>
        <item x="28"/>
        <item x="96"/>
        <item x="98"/>
        <item x="60"/>
        <item x="11"/>
        <item x="26"/>
        <item x="67"/>
        <item x="52"/>
        <item x="75"/>
        <item x="79"/>
        <item x="32"/>
        <item x="87"/>
        <item x="29"/>
        <item x="68"/>
        <item x="25"/>
        <item x="43"/>
        <item x="73"/>
        <item x="88"/>
        <item x="31"/>
        <item x="44"/>
        <item x="84"/>
        <item x="22"/>
        <item x="45"/>
        <item x="65"/>
        <item x="81"/>
        <item x="61"/>
        <item x="71"/>
        <item x="91"/>
        <item x="41"/>
        <item x="14"/>
        <item x="55"/>
        <item x="36"/>
        <item x="2"/>
        <item x="83"/>
        <item x="5"/>
        <item x="7"/>
        <item x="95"/>
        <item x="42"/>
        <item x="62"/>
        <item x="24"/>
        <item x="70"/>
        <item x="46"/>
        <item x="30"/>
        <item x="49"/>
        <item x="94"/>
        <item x="69"/>
        <item x="19"/>
        <item x="86"/>
        <item x="34"/>
        <item x="51"/>
        <item x="90"/>
        <item x="12"/>
        <item x="15"/>
        <item x="13"/>
        <item x="27"/>
        <item x="8"/>
        <item x="0"/>
        <item x="72"/>
        <item x="20"/>
        <item x="47"/>
        <item x="63"/>
        <item x="23"/>
        <item x="92"/>
        <item x="66"/>
        <item x="48"/>
        <item x="16"/>
        <item x="77"/>
        <item x="53"/>
        <item x="6"/>
        <item x="17"/>
        <item x="21"/>
        <item x="9"/>
        <item x="58"/>
        <item x="85"/>
        <item x="99"/>
        <item x="89"/>
        <item x="76"/>
        <item x="93"/>
        <item x="38"/>
        <item x="33"/>
        <item x="50"/>
        <item x="74"/>
        <item x="97"/>
        <item x="37"/>
        <item x="10"/>
        <item x="82"/>
        <item x="78"/>
        <item x="59"/>
        <item x="35"/>
        <item x="54"/>
        <item x="56"/>
        <item x="57"/>
        <item x="18"/>
        <item x="39"/>
        <item x="4"/>
        <item x="3"/>
        <item x="80"/>
        <item t="default"/>
      </items>
    </pivotField>
    <pivotField showAll="0">
      <items count="101">
        <item x="96"/>
        <item x="87"/>
        <item x="67"/>
        <item x="75"/>
        <item x="79"/>
        <item x="25"/>
        <item x="73"/>
        <item x="40"/>
        <item x="1"/>
        <item x="52"/>
        <item x="31"/>
        <item x="29"/>
        <item x="68"/>
        <item x="45"/>
        <item x="28"/>
        <item x="44"/>
        <item x="43"/>
        <item x="60"/>
        <item x="61"/>
        <item x="88"/>
        <item x="14"/>
        <item x="98"/>
        <item x="11"/>
        <item x="22"/>
        <item x="64"/>
        <item x="26"/>
        <item x="36"/>
        <item x="71"/>
        <item x="65"/>
        <item x="2"/>
        <item x="32"/>
        <item x="41"/>
        <item x="83"/>
        <item x="84"/>
        <item x="24"/>
        <item x="70"/>
        <item x="46"/>
        <item x="34"/>
        <item x="7"/>
        <item x="13"/>
        <item x="81"/>
        <item x="5"/>
        <item x="55"/>
        <item x="49"/>
        <item x="95"/>
        <item x="0"/>
        <item x="15"/>
        <item x="91"/>
        <item x="62"/>
        <item x="42"/>
        <item x="8"/>
        <item x="72"/>
        <item x="63"/>
        <item x="69"/>
        <item x="20"/>
        <item x="51"/>
        <item x="47"/>
        <item x="86"/>
        <item x="92"/>
        <item x="30"/>
        <item x="12"/>
        <item x="90"/>
        <item x="94"/>
        <item x="19"/>
        <item x="27"/>
        <item x="48"/>
        <item x="66"/>
        <item x="23"/>
        <item x="6"/>
        <item x="16"/>
        <item x="9"/>
        <item x="58"/>
        <item x="99"/>
        <item x="21"/>
        <item x="53"/>
        <item x="76"/>
        <item x="77"/>
        <item x="17"/>
        <item x="74"/>
        <item x="85"/>
        <item x="33"/>
        <item x="89"/>
        <item x="50"/>
        <item x="38"/>
        <item x="97"/>
        <item x="10"/>
        <item x="93"/>
        <item x="35"/>
        <item x="82"/>
        <item x="37"/>
        <item x="78"/>
        <item x="18"/>
        <item x="39"/>
        <item x="59"/>
        <item x="57"/>
        <item x="3"/>
        <item x="54"/>
        <item x="56"/>
        <item x="80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umber_cours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71A6-7E18-4740-9FCE-7792717078C1}">
  <dimension ref="B2:L105"/>
  <sheetViews>
    <sheetView workbookViewId="0">
      <selection activeCell="N9" sqref="N9"/>
    </sheetView>
  </sheetViews>
  <sheetFormatPr defaultRowHeight="14.4" x14ac:dyDescent="0.3"/>
  <cols>
    <col min="3" max="3" width="14.5546875" bestFit="1" customWidth="1"/>
    <col min="4" max="4" width="9.5546875" bestFit="1" customWidth="1"/>
    <col min="5" max="5" width="9.109375" bestFit="1" customWidth="1"/>
  </cols>
  <sheetData>
    <row r="2" spans="2:12" x14ac:dyDescent="0.3">
      <c r="B2" s="1" t="s">
        <v>0</v>
      </c>
      <c r="C2" s="2" t="s">
        <v>1</v>
      </c>
      <c r="D2" s="2" t="s">
        <v>1</v>
      </c>
      <c r="E2" s="2" t="s">
        <v>1</v>
      </c>
      <c r="I2" s="3" t="s">
        <v>9</v>
      </c>
    </row>
    <row r="3" spans="2:12" x14ac:dyDescent="0.3">
      <c r="G3" s="10"/>
      <c r="H3" s="10"/>
      <c r="I3" s="10"/>
      <c r="J3" s="10"/>
      <c r="K3" s="10"/>
      <c r="L3" s="10"/>
    </row>
    <row r="4" spans="2:12" x14ac:dyDescent="0.3">
      <c r="C4" s="14" t="s">
        <v>2</v>
      </c>
      <c r="D4" s="14"/>
      <c r="E4" s="14"/>
      <c r="G4" s="4" t="s">
        <v>6</v>
      </c>
      <c r="H4" s="4"/>
      <c r="I4" s="4"/>
      <c r="J4" s="4"/>
      <c r="K4" s="4"/>
      <c r="L4" s="4"/>
    </row>
    <row r="5" spans="2:12" x14ac:dyDescent="0.3">
      <c r="C5" s="6" t="s">
        <v>3</v>
      </c>
      <c r="D5" s="7" t="s">
        <v>4</v>
      </c>
      <c r="E5" s="6" t="s">
        <v>5</v>
      </c>
      <c r="G5" s="8"/>
      <c r="H5" s="8"/>
      <c r="I5" s="8"/>
      <c r="J5" s="8"/>
      <c r="K5" s="8"/>
      <c r="L5" s="8"/>
    </row>
    <row r="6" spans="2:12" x14ac:dyDescent="0.3">
      <c r="C6" s="6">
        <v>3</v>
      </c>
      <c r="D6" s="7">
        <v>4.508</v>
      </c>
      <c r="E6" s="6">
        <v>19.202000000000002</v>
      </c>
      <c r="G6" s="5" t="s">
        <v>7</v>
      </c>
      <c r="H6" s="5"/>
      <c r="I6" s="5"/>
      <c r="J6" s="5"/>
      <c r="K6" s="5"/>
      <c r="L6" s="5"/>
    </row>
    <row r="7" spans="2:12" x14ac:dyDescent="0.3">
      <c r="C7" s="6">
        <v>4</v>
      </c>
      <c r="D7" s="7">
        <v>9.6000000000000002E-2</v>
      </c>
      <c r="E7" s="6">
        <v>7.734</v>
      </c>
      <c r="G7" s="9"/>
      <c r="H7" s="9"/>
      <c r="I7" s="9"/>
      <c r="J7" s="9"/>
      <c r="K7" s="9"/>
      <c r="L7" s="9"/>
    </row>
    <row r="8" spans="2:12" x14ac:dyDescent="0.3">
      <c r="C8" s="6">
        <v>4</v>
      </c>
      <c r="D8" s="7">
        <v>3.133</v>
      </c>
      <c r="E8" s="6">
        <v>13.811</v>
      </c>
      <c r="G8" s="4" t="s">
        <v>8</v>
      </c>
      <c r="H8" s="4"/>
      <c r="I8" s="4"/>
      <c r="J8" s="4"/>
      <c r="K8" s="4"/>
      <c r="L8" s="4"/>
    </row>
    <row r="9" spans="2:12" x14ac:dyDescent="0.3">
      <c r="C9" s="6">
        <v>6</v>
      </c>
      <c r="D9" s="7">
        <v>7.9089999999999998</v>
      </c>
      <c r="E9" s="6">
        <v>53.018000000000001</v>
      </c>
      <c r="G9" s="11"/>
      <c r="H9" s="11"/>
      <c r="I9" s="11"/>
      <c r="J9" s="11"/>
      <c r="K9" s="11"/>
      <c r="L9" s="11"/>
    </row>
    <row r="10" spans="2:12" x14ac:dyDescent="0.3">
      <c r="C10" s="6">
        <v>8</v>
      </c>
      <c r="D10" s="7">
        <v>7.8109999999999999</v>
      </c>
      <c r="E10" s="6">
        <v>55.298999999999999</v>
      </c>
      <c r="G10" s="36"/>
      <c r="H10" s="36"/>
      <c r="I10" s="36"/>
      <c r="J10" s="36"/>
      <c r="K10" s="36"/>
      <c r="L10" s="36"/>
    </row>
    <row r="11" spans="2:12" x14ac:dyDescent="0.3">
      <c r="C11" s="6">
        <v>6</v>
      </c>
      <c r="D11" s="7">
        <v>3.2109999999999999</v>
      </c>
      <c r="E11" s="6">
        <v>17.821999999999999</v>
      </c>
      <c r="G11" s="12" t="s">
        <v>10</v>
      </c>
      <c r="H11" s="13"/>
      <c r="I11" s="12" t="s">
        <v>10</v>
      </c>
      <c r="J11" s="13"/>
      <c r="K11" s="12" t="s">
        <v>10</v>
      </c>
      <c r="L11" s="13"/>
    </row>
    <row r="12" spans="2:12" x14ac:dyDescent="0.3">
      <c r="C12" s="6">
        <v>3</v>
      </c>
      <c r="D12" s="7">
        <v>6.0629999999999997</v>
      </c>
      <c r="E12" s="6">
        <v>29.888999999999999</v>
      </c>
      <c r="G12" s="36"/>
      <c r="H12" s="36"/>
      <c r="I12" s="36"/>
      <c r="J12" s="36"/>
      <c r="K12" s="36"/>
      <c r="L12" s="36"/>
    </row>
    <row r="13" spans="2:12" x14ac:dyDescent="0.3">
      <c r="C13" s="6">
        <v>5</v>
      </c>
      <c r="D13" s="7">
        <v>3.4129999999999998</v>
      </c>
      <c r="E13" s="6">
        <v>17.263999999999999</v>
      </c>
    </row>
    <row r="14" spans="2:12" x14ac:dyDescent="0.3">
      <c r="C14" s="6">
        <v>4</v>
      </c>
      <c r="D14" s="7">
        <v>4.41</v>
      </c>
      <c r="E14" s="6">
        <v>20.347999999999999</v>
      </c>
    </row>
    <row r="15" spans="2:12" x14ac:dyDescent="0.3">
      <c r="C15" s="6">
        <v>3</v>
      </c>
      <c r="D15" s="7">
        <v>6.173</v>
      </c>
      <c r="E15" s="6">
        <v>30.861999999999998</v>
      </c>
    </row>
    <row r="16" spans="2:12" x14ac:dyDescent="0.3">
      <c r="C16" s="6">
        <v>3</v>
      </c>
      <c r="D16" s="7">
        <v>7.3529999999999998</v>
      </c>
      <c r="E16" s="6">
        <v>42.036000000000001</v>
      </c>
    </row>
    <row r="17" spans="3:5" x14ac:dyDescent="0.3">
      <c r="C17" s="6">
        <v>7</v>
      </c>
      <c r="D17" s="7">
        <v>0.42299999999999999</v>
      </c>
      <c r="E17" s="6">
        <v>12.132</v>
      </c>
    </row>
    <row r="18" spans="3:5" x14ac:dyDescent="0.3">
      <c r="C18" s="6">
        <v>7</v>
      </c>
      <c r="D18" s="7">
        <v>4.218</v>
      </c>
      <c r="E18" s="6">
        <v>24.318000000000001</v>
      </c>
    </row>
    <row r="19" spans="3:5" x14ac:dyDescent="0.3">
      <c r="C19" s="6">
        <v>3</v>
      </c>
      <c r="D19" s="7">
        <v>4.274</v>
      </c>
      <c r="E19" s="6">
        <v>17.672000000000001</v>
      </c>
    </row>
    <row r="20" spans="3:5" x14ac:dyDescent="0.3">
      <c r="C20" s="6">
        <v>3</v>
      </c>
      <c r="D20" s="7">
        <v>2.9079999999999999</v>
      </c>
      <c r="E20" s="6">
        <v>11.397</v>
      </c>
    </row>
    <row r="21" spans="3:5" x14ac:dyDescent="0.3">
      <c r="C21" s="6">
        <v>4</v>
      </c>
      <c r="D21" s="7">
        <v>4.26</v>
      </c>
      <c r="E21" s="6">
        <v>19.466000000000001</v>
      </c>
    </row>
    <row r="22" spans="3:5" x14ac:dyDescent="0.3">
      <c r="C22" s="6">
        <v>5</v>
      </c>
      <c r="D22" s="7">
        <v>5.7190000000000003</v>
      </c>
      <c r="E22" s="6">
        <v>30.547999999999998</v>
      </c>
    </row>
    <row r="23" spans="3:5" x14ac:dyDescent="0.3">
      <c r="C23" s="6">
        <v>8</v>
      </c>
      <c r="D23" s="7">
        <v>6.08</v>
      </c>
      <c r="E23" s="6">
        <v>38.49</v>
      </c>
    </row>
    <row r="24" spans="3:5" x14ac:dyDescent="0.3">
      <c r="C24" s="6">
        <v>6</v>
      </c>
      <c r="D24" s="7">
        <v>7.7110000000000003</v>
      </c>
      <c r="E24" s="6">
        <v>50.985999999999997</v>
      </c>
    </row>
    <row r="25" spans="3:5" x14ac:dyDescent="0.3">
      <c r="C25" s="6">
        <v>8</v>
      </c>
      <c r="D25" s="7">
        <v>3.9769999999999999</v>
      </c>
      <c r="E25" s="6">
        <v>25.132999999999999</v>
      </c>
    </row>
    <row r="26" spans="3:5" x14ac:dyDescent="0.3">
      <c r="C26" s="6">
        <v>4</v>
      </c>
      <c r="D26" s="7">
        <v>4.7329999999999997</v>
      </c>
      <c r="E26" s="6">
        <v>22.073</v>
      </c>
    </row>
    <row r="27" spans="3:5" x14ac:dyDescent="0.3">
      <c r="C27" s="6">
        <v>6</v>
      </c>
      <c r="D27" s="7">
        <v>6.1260000000000003</v>
      </c>
      <c r="E27" s="6">
        <v>35.939</v>
      </c>
    </row>
    <row r="28" spans="3:5" x14ac:dyDescent="0.3">
      <c r="C28" s="6">
        <v>5</v>
      </c>
      <c r="D28" s="7">
        <v>2.0510000000000002</v>
      </c>
      <c r="E28" s="6">
        <v>12.209</v>
      </c>
    </row>
    <row r="29" spans="3:5" x14ac:dyDescent="0.3">
      <c r="C29" s="6">
        <v>7</v>
      </c>
      <c r="D29" s="7">
        <v>4.875</v>
      </c>
      <c r="E29" s="6">
        <v>28.042999999999999</v>
      </c>
    </row>
    <row r="30" spans="3:5" x14ac:dyDescent="0.3">
      <c r="C30" s="6">
        <v>4</v>
      </c>
      <c r="D30" s="7">
        <v>3.6349999999999998</v>
      </c>
      <c r="E30" s="6">
        <v>16.516999999999999</v>
      </c>
    </row>
    <row r="31" spans="3:5" x14ac:dyDescent="0.3">
      <c r="C31" s="6">
        <v>3</v>
      </c>
      <c r="D31" s="7">
        <v>1.407</v>
      </c>
      <c r="E31" s="6">
        <v>6.6230000000000002</v>
      </c>
    </row>
    <row r="32" spans="3:5" x14ac:dyDescent="0.3">
      <c r="C32" s="6">
        <v>7</v>
      </c>
      <c r="D32" s="7">
        <v>0.50800000000000001</v>
      </c>
      <c r="E32" s="6">
        <v>12.647</v>
      </c>
    </row>
    <row r="33" spans="3:5" x14ac:dyDescent="0.3">
      <c r="C33" s="6">
        <v>8</v>
      </c>
      <c r="D33" s="7">
        <v>4.3780000000000001</v>
      </c>
      <c r="E33" s="6">
        <v>26.532</v>
      </c>
    </row>
    <row r="34" spans="3:5" x14ac:dyDescent="0.3">
      <c r="C34" s="6">
        <v>5</v>
      </c>
      <c r="D34" s="7">
        <v>0.156</v>
      </c>
      <c r="E34" s="6">
        <v>9.3330000000000002</v>
      </c>
    </row>
    <row r="35" spans="3:5" x14ac:dyDescent="0.3">
      <c r="C35" s="6">
        <v>4</v>
      </c>
      <c r="D35" s="7">
        <v>1.2989999999999999</v>
      </c>
      <c r="E35" s="6">
        <v>8.8369999999999997</v>
      </c>
    </row>
    <row r="36" spans="3:5" x14ac:dyDescent="0.3">
      <c r="C36" s="6">
        <v>8</v>
      </c>
      <c r="D36" s="7">
        <v>3.8639999999999999</v>
      </c>
      <c r="E36" s="6">
        <v>24.172000000000001</v>
      </c>
    </row>
    <row r="37" spans="3:5" x14ac:dyDescent="0.3">
      <c r="C37" s="6">
        <v>3</v>
      </c>
      <c r="D37" s="7">
        <v>1.923</v>
      </c>
      <c r="E37" s="6">
        <v>8.1</v>
      </c>
    </row>
    <row r="38" spans="3:5" x14ac:dyDescent="0.3">
      <c r="C38" s="6">
        <v>8</v>
      </c>
      <c r="D38" s="7">
        <v>0.93200000000000005</v>
      </c>
      <c r="E38" s="6">
        <v>15.038</v>
      </c>
    </row>
    <row r="39" spans="3:5" x14ac:dyDescent="0.3">
      <c r="C39" s="6">
        <v>6</v>
      </c>
      <c r="D39" s="7">
        <v>6.5940000000000003</v>
      </c>
      <c r="E39" s="6">
        <v>39.965000000000003</v>
      </c>
    </row>
    <row r="40" spans="3:5" x14ac:dyDescent="0.3">
      <c r="C40" s="6">
        <v>3</v>
      </c>
      <c r="D40" s="7">
        <v>4.0830000000000002</v>
      </c>
      <c r="E40" s="6">
        <v>17.170999999999999</v>
      </c>
    </row>
    <row r="41" spans="3:5" x14ac:dyDescent="0.3">
      <c r="C41" s="6">
        <v>3</v>
      </c>
      <c r="D41" s="7">
        <v>7.5430000000000001</v>
      </c>
      <c r="E41" s="6">
        <v>43.978000000000002</v>
      </c>
    </row>
    <row r="42" spans="3:5" x14ac:dyDescent="0.3">
      <c r="C42" s="6">
        <v>4</v>
      </c>
      <c r="D42" s="7">
        <v>2.9660000000000002</v>
      </c>
      <c r="E42" s="6">
        <v>13.119</v>
      </c>
    </row>
    <row r="43" spans="3:5" x14ac:dyDescent="0.3">
      <c r="C43" s="6">
        <v>6</v>
      </c>
      <c r="D43" s="7">
        <v>7.2830000000000004</v>
      </c>
      <c r="E43" s="6">
        <v>46.453000000000003</v>
      </c>
    </row>
    <row r="44" spans="3:5" x14ac:dyDescent="0.3">
      <c r="C44" s="6">
        <v>7</v>
      </c>
      <c r="D44" s="7">
        <v>6.5330000000000004</v>
      </c>
      <c r="E44" s="6">
        <v>41.357999999999997</v>
      </c>
    </row>
    <row r="45" spans="3:5" x14ac:dyDescent="0.3">
      <c r="C45" s="6">
        <v>6</v>
      </c>
      <c r="D45" s="7">
        <v>7.7750000000000004</v>
      </c>
      <c r="E45" s="6">
        <v>51.142000000000003</v>
      </c>
    </row>
    <row r="46" spans="3:5" x14ac:dyDescent="0.3">
      <c r="C46" s="6">
        <v>4</v>
      </c>
      <c r="D46" s="7">
        <v>0.14000000000000001</v>
      </c>
      <c r="E46" s="6">
        <v>7.3360000000000003</v>
      </c>
    </row>
    <row r="47" spans="3:5" x14ac:dyDescent="0.3">
      <c r="C47" s="6">
        <v>6</v>
      </c>
      <c r="D47" s="7">
        <v>2.754</v>
      </c>
      <c r="E47" s="6">
        <v>15.725</v>
      </c>
    </row>
    <row r="48" spans="3:5" x14ac:dyDescent="0.3">
      <c r="C48" s="6">
        <v>6</v>
      </c>
      <c r="D48" s="7">
        <v>3.5910000000000002</v>
      </c>
      <c r="E48" s="6">
        <v>19.771000000000001</v>
      </c>
    </row>
    <row r="49" spans="3:5" x14ac:dyDescent="0.3">
      <c r="C49" s="6">
        <v>5</v>
      </c>
      <c r="D49" s="7">
        <v>1.5569999999999999</v>
      </c>
      <c r="E49" s="6">
        <v>10.429</v>
      </c>
    </row>
    <row r="50" spans="3:5" x14ac:dyDescent="0.3">
      <c r="C50" s="6">
        <v>4</v>
      </c>
      <c r="D50" s="7">
        <v>1.954</v>
      </c>
      <c r="E50" s="6">
        <v>9.7420000000000009</v>
      </c>
    </row>
    <row r="51" spans="3:5" x14ac:dyDescent="0.3">
      <c r="C51" s="6">
        <v>3</v>
      </c>
      <c r="D51" s="7">
        <v>2.0609999999999999</v>
      </c>
      <c r="E51" s="6">
        <v>8.9239999999999995</v>
      </c>
    </row>
    <row r="52" spans="3:5" x14ac:dyDescent="0.3">
      <c r="C52" s="6">
        <v>4</v>
      </c>
      <c r="D52" s="7">
        <v>3.7970000000000002</v>
      </c>
      <c r="E52" s="6">
        <v>16.702999999999999</v>
      </c>
    </row>
    <row r="53" spans="3:5" x14ac:dyDescent="0.3">
      <c r="C53" s="6">
        <v>4</v>
      </c>
      <c r="D53" s="7">
        <v>4.7789999999999999</v>
      </c>
      <c r="E53" s="6">
        <v>22.701000000000001</v>
      </c>
    </row>
    <row r="54" spans="3:5" x14ac:dyDescent="0.3">
      <c r="C54" s="6">
        <v>3</v>
      </c>
      <c r="D54" s="7">
        <v>5.6349999999999998</v>
      </c>
      <c r="E54" s="6">
        <v>26.882000000000001</v>
      </c>
    </row>
    <row r="55" spans="3:5" x14ac:dyDescent="0.3">
      <c r="C55" s="6">
        <v>5</v>
      </c>
      <c r="D55" s="7">
        <v>3.9129999999999998</v>
      </c>
      <c r="E55" s="6">
        <v>19.106000000000002</v>
      </c>
    </row>
    <row r="56" spans="3:5" x14ac:dyDescent="0.3">
      <c r="C56" s="6">
        <v>6</v>
      </c>
      <c r="D56" s="7">
        <v>6.7030000000000003</v>
      </c>
      <c r="E56" s="6">
        <v>40.601999999999997</v>
      </c>
    </row>
    <row r="57" spans="3:5" x14ac:dyDescent="0.3">
      <c r="C57" s="6">
        <v>6</v>
      </c>
      <c r="D57" s="7">
        <v>4.13</v>
      </c>
      <c r="E57" s="6">
        <v>22.184000000000001</v>
      </c>
    </row>
    <row r="58" spans="3:5" x14ac:dyDescent="0.3">
      <c r="C58" s="6">
        <v>4</v>
      </c>
      <c r="D58" s="7">
        <v>0.77100000000000002</v>
      </c>
      <c r="E58" s="6">
        <v>7.8920000000000003</v>
      </c>
    </row>
    <row r="59" spans="3:5" x14ac:dyDescent="0.3">
      <c r="C59" s="6">
        <v>7</v>
      </c>
      <c r="D59" s="7">
        <v>6.0490000000000004</v>
      </c>
      <c r="E59" s="6">
        <v>36.652999999999999</v>
      </c>
    </row>
    <row r="60" spans="3:5" x14ac:dyDescent="0.3">
      <c r="C60" s="6">
        <v>8</v>
      </c>
      <c r="D60" s="7">
        <v>7.5910000000000002</v>
      </c>
      <c r="E60" s="6">
        <v>53.158000000000001</v>
      </c>
    </row>
    <row r="61" spans="3:5" x14ac:dyDescent="0.3">
      <c r="C61" s="6">
        <v>7</v>
      </c>
      <c r="D61" s="7">
        <v>2.9129999999999998</v>
      </c>
      <c r="E61" s="6">
        <v>18.238</v>
      </c>
    </row>
    <row r="62" spans="3:5" x14ac:dyDescent="0.3">
      <c r="C62" s="6">
        <v>8</v>
      </c>
      <c r="D62" s="7">
        <v>7.641</v>
      </c>
      <c r="E62" s="6">
        <v>53.359000000000002</v>
      </c>
    </row>
    <row r="63" spans="3:5" x14ac:dyDescent="0.3">
      <c r="C63" s="6">
        <v>7</v>
      </c>
      <c r="D63" s="7">
        <v>7.649</v>
      </c>
      <c r="E63" s="6">
        <v>51.582999999999998</v>
      </c>
    </row>
    <row r="64" spans="3:5" x14ac:dyDescent="0.3">
      <c r="C64" s="6">
        <v>3</v>
      </c>
      <c r="D64" s="7">
        <v>6.1980000000000004</v>
      </c>
      <c r="E64" s="6">
        <v>31.236000000000001</v>
      </c>
    </row>
    <row r="65" spans="3:5" x14ac:dyDescent="0.3">
      <c r="C65" s="6">
        <v>8</v>
      </c>
      <c r="D65" s="7">
        <v>7.468</v>
      </c>
      <c r="E65" s="6">
        <v>51.343000000000004</v>
      </c>
    </row>
    <row r="66" spans="3:5" x14ac:dyDescent="0.3">
      <c r="C66" s="6">
        <v>6</v>
      </c>
      <c r="D66" s="7">
        <v>0.376</v>
      </c>
      <c r="E66" s="6">
        <v>10.522</v>
      </c>
    </row>
    <row r="67" spans="3:5" x14ac:dyDescent="0.3">
      <c r="C67" s="6">
        <v>4</v>
      </c>
      <c r="D67" s="7">
        <v>2.4380000000000002</v>
      </c>
      <c r="E67" s="6">
        <v>10.843999999999999</v>
      </c>
    </row>
    <row r="68" spans="3:5" x14ac:dyDescent="0.3">
      <c r="C68" s="6">
        <v>6</v>
      </c>
      <c r="D68" s="7">
        <v>3.6059999999999999</v>
      </c>
      <c r="E68" s="6">
        <v>19.59</v>
      </c>
    </row>
    <row r="69" spans="3:5" x14ac:dyDescent="0.3">
      <c r="C69" s="6">
        <v>3</v>
      </c>
      <c r="D69" s="7">
        <v>4.8689999999999998</v>
      </c>
      <c r="E69" s="6">
        <v>21.379000000000001</v>
      </c>
    </row>
    <row r="70" spans="3:5" x14ac:dyDescent="0.3">
      <c r="C70" s="6">
        <v>7</v>
      </c>
      <c r="D70" s="7">
        <v>0.13</v>
      </c>
      <c r="E70" s="6">
        <v>12.590999999999999</v>
      </c>
    </row>
    <row r="71" spans="3:5" x14ac:dyDescent="0.3">
      <c r="C71" s="6">
        <v>6</v>
      </c>
      <c r="D71" s="7">
        <v>2.1419999999999999</v>
      </c>
      <c r="E71" s="6">
        <v>13.561999999999999</v>
      </c>
    </row>
    <row r="72" spans="3:5" x14ac:dyDescent="0.3">
      <c r="C72" s="6">
        <v>4</v>
      </c>
      <c r="D72" s="7">
        <v>5.4729999999999999</v>
      </c>
      <c r="E72" s="6">
        <v>27.568999999999999</v>
      </c>
    </row>
    <row r="73" spans="3:5" x14ac:dyDescent="0.3">
      <c r="C73" s="6">
        <v>3</v>
      </c>
      <c r="D73" s="7">
        <v>0.55000000000000004</v>
      </c>
      <c r="E73" s="6">
        <v>6.1849999999999996</v>
      </c>
    </row>
    <row r="74" spans="3:5" x14ac:dyDescent="0.3">
      <c r="C74" s="6">
        <v>4</v>
      </c>
      <c r="D74" s="7">
        <v>1.395</v>
      </c>
      <c r="E74" s="6">
        <v>8.92</v>
      </c>
    </row>
    <row r="75" spans="3:5" x14ac:dyDescent="0.3">
      <c r="C75" s="6">
        <v>6</v>
      </c>
      <c r="D75" s="7">
        <v>3.948</v>
      </c>
      <c r="E75" s="6">
        <v>21.4</v>
      </c>
    </row>
    <row r="76" spans="3:5" x14ac:dyDescent="0.3">
      <c r="C76" s="6">
        <v>4</v>
      </c>
      <c r="D76" s="7">
        <v>3.7360000000000002</v>
      </c>
      <c r="E76" s="6">
        <v>16.606000000000002</v>
      </c>
    </row>
    <row r="77" spans="3:5" x14ac:dyDescent="0.3">
      <c r="C77" s="6">
        <v>5</v>
      </c>
      <c r="D77" s="7">
        <v>2.5179999999999998</v>
      </c>
      <c r="E77" s="6">
        <v>13.416</v>
      </c>
    </row>
    <row r="78" spans="3:5" x14ac:dyDescent="0.3">
      <c r="C78" s="6">
        <v>3</v>
      </c>
      <c r="D78" s="7">
        <v>4.633</v>
      </c>
      <c r="E78" s="6">
        <v>20.398</v>
      </c>
    </row>
    <row r="79" spans="3:5" x14ac:dyDescent="0.3">
      <c r="C79" s="6">
        <v>3</v>
      </c>
      <c r="D79" s="7">
        <v>1.629</v>
      </c>
      <c r="E79" s="6">
        <v>7.0140000000000002</v>
      </c>
    </row>
    <row r="80" spans="3:5" x14ac:dyDescent="0.3">
      <c r="C80" s="6">
        <v>4</v>
      </c>
      <c r="D80" s="7">
        <v>6.9539999999999997</v>
      </c>
      <c r="E80" s="6">
        <v>39.951999999999998</v>
      </c>
    </row>
    <row r="81" spans="3:5" x14ac:dyDescent="0.3">
      <c r="C81" s="6">
        <v>3</v>
      </c>
      <c r="D81" s="7">
        <v>0.80300000000000005</v>
      </c>
      <c r="E81" s="6">
        <v>6.2169999999999996</v>
      </c>
    </row>
    <row r="82" spans="3:5" x14ac:dyDescent="0.3">
      <c r="C82" s="6">
        <v>5</v>
      </c>
      <c r="D82" s="7">
        <v>6.3789999999999996</v>
      </c>
      <c r="E82" s="6">
        <v>36.746000000000002</v>
      </c>
    </row>
    <row r="83" spans="3:5" x14ac:dyDescent="0.3">
      <c r="C83" s="6">
        <v>8</v>
      </c>
      <c r="D83" s="7">
        <v>5.9850000000000003</v>
      </c>
      <c r="E83" s="6">
        <v>38.277999999999999</v>
      </c>
    </row>
    <row r="84" spans="3:5" x14ac:dyDescent="0.3">
      <c r="C84" s="6">
        <v>7</v>
      </c>
      <c r="D84" s="7">
        <v>7.4509999999999996</v>
      </c>
      <c r="E84" s="6">
        <v>49.543999999999997</v>
      </c>
    </row>
    <row r="85" spans="3:5" x14ac:dyDescent="0.3">
      <c r="C85" s="6">
        <v>3</v>
      </c>
      <c r="D85" s="7">
        <v>0.80500000000000005</v>
      </c>
      <c r="E85" s="6">
        <v>6.3490000000000002</v>
      </c>
    </row>
    <row r="86" spans="3:5" x14ac:dyDescent="0.3">
      <c r="C86" s="6">
        <v>7</v>
      </c>
      <c r="D86" s="7">
        <v>7.9569999999999999</v>
      </c>
      <c r="E86" s="6">
        <v>54.320999999999998</v>
      </c>
    </row>
    <row r="87" spans="3:5" x14ac:dyDescent="0.3">
      <c r="C87" s="6">
        <v>8</v>
      </c>
      <c r="D87" s="7">
        <v>2.262</v>
      </c>
      <c r="E87" s="6">
        <v>17.704999999999998</v>
      </c>
    </row>
    <row r="88" spans="3:5" x14ac:dyDescent="0.3">
      <c r="C88" s="6">
        <v>4</v>
      </c>
      <c r="D88" s="7">
        <v>7.41</v>
      </c>
      <c r="E88" s="6">
        <v>44.098999999999997</v>
      </c>
    </row>
    <row r="89" spans="3:5" x14ac:dyDescent="0.3">
      <c r="C89" s="6">
        <v>5</v>
      </c>
      <c r="D89" s="7">
        <v>3.1970000000000001</v>
      </c>
      <c r="E89" s="6">
        <v>16.106000000000002</v>
      </c>
    </row>
    <row r="90" spans="3:5" x14ac:dyDescent="0.3">
      <c r="C90" s="6">
        <v>8</v>
      </c>
      <c r="D90" s="7">
        <v>1.982</v>
      </c>
      <c r="E90" s="6">
        <v>16.460999999999999</v>
      </c>
    </row>
    <row r="91" spans="3:5" x14ac:dyDescent="0.3">
      <c r="C91" s="6">
        <v>8</v>
      </c>
      <c r="D91" s="7">
        <v>6.2009999999999996</v>
      </c>
      <c r="E91" s="6">
        <v>39.957000000000001</v>
      </c>
    </row>
    <row r="92" spans="3:5" x14ac:dyDescent="0.3">
      <c r="C92" s="6">
        <v>7</v>
      </c>
      <c r="D92" s="7">
        <v>4.0670000000000002</v>
      </c>
      <c r="E92" s="6">
        <v>23.149000000000001</v>
      </c>
    </row>
    <row r="93" spans="3:5" x14ac:dyDescent="0.3">
      <c r="C93" s="6">
        <v>3</v>
      </c>
      <c r="D93" s="7">
        <v>1.0329999999999999</v>
      </c>
      <c r="E93" s="6">
        <v>6.0529999999999999</v>
      </c>
    </row>
    <row r="94" spans="3:5" x14ac:dyDescent="0.3">
      <c r="C94" s="6">
        <v>5</v>
      </c>
      <c r="D94" s="7">
        <v>1.8029999999999999</v>
      </c>
      <c r="E94" s="6">
        <v>11.253</v>
      </c>
    </row>
    <row r="95" spans="3:5" x14ac:dyDescent="0.3">
      <c r="C95" s="6">
        <v>7</v>
      </c>
      <c r="D95" s="7">
        <v>6.3760000000000003</v>
      </c>
      <c r="E95" s="6">
        <v>40.024000000000001</v>
      </c>
    </row>
    <row r="96" spans="3:5" x14ac:dyDescent="0.3">
      <c r="C96" s="6">
        <v>7</v>
      </c>
      <c r="D96" s="7">
        <v>4.1820000000000004</v>
      </c>
      <c r="E96" s="6">
        <v>24.393999999999998</v>
      </c>
    </row>
    <row r="97" spans="3:5" x14ac:dyDescent="0.3">
      <c r="C97" s="6">
        <v>8</v>
      </c>
      <c r="D97" s="7">
        <v>2.73</v>
      </c>
      <c r="E97" s="6">
        <v>19.564</v>
      </c>
    </row>
    <row r="98" spans="3:5" x14ac:dyDescent="0.3">
      <c r="C98" s="6">
        <v>4</v>
      </c>
      <c r="D98" s="7">
        <v>5.0270000000000001</v>
      </c>
      <c r="E98" s="6">
        <v>23.916</v>
      </c>
    </row>
    <row r="99" spans="3:5" x14ac:dyDescent="0.3">
      <c r="C99" s="6">
        <v>8</v>
      </c>
      <c r="D99" s="7">
        <v>6.4710000000000001</v>
      </c>
      <c r="E99" s="6">
        <v>42.426000000000002</v>
      </c>
    </row>
    <row r="100" spans="3:5" x14ac:dyDescent="0.3">
      <c r="C100" s="6">
        <v>8</v>
      </c>
      <c r="D100" s="7">
        <v>3.919</v>
      </c>
      <c r="E100" s="6">
        <v>24.451000000000001</v>
      </c>
    </row>
    <row r="101" spans="3:5" x14ac:dyDescent="0.3">
      <c r="C101" s="6">
        <v>6</v>
      </c>
      <c r="D101" s="7">
        <v>3.5609999999999999</v>
      </c>
      <c r="E101" s="6">
        <v>19.128</v>
      </c>
    </row>
    <row r="102" spans="3:5" x14ac:dyDescent="0.3">
      <c r="C102" s="6">
        <v>3</v>
      </c>
      <c r="D102" s="7">
        <v>0.30099999999999999</v>
      </c>
      <c r="E102" s="6">
        <v>5.609</v>
      </c>
    </row>
    <row r="103" spans="3:5" x14ac:dyDescent="0.3">
      <c r="C103" s="6">
        <v>4</v>
      </c>
      <c r="D103" s="7">
        <v>7.1630000000000003</v>
      </c>
      <c r="E103" s="6">
        <v>41.444000000000003</v>
      </c>
    </row>
    <row r="104" spans="3:5" x14ac:dyDescent="0.3">
      <c r="C104" s="6">
        <v>7</v>
      </c>
      <c r="D104" s="7">
        <v>0.309</v>
      </c>
      <c r="E104" s="6">
        <v>12.026999999999999</v>
      </c>
    </row>
    <row r="105" spans="3:5" x14ac:dyDescent="0.3">
      <c r="C105" s="6">
        <v>3</v>
      </c>
      <c r="D105" s="7">
        <v>6.335</v>
      </c>
      <c r="E105" s="6">
        <v>32.356999999999999</v>
      </c>
    </row>
  </sheetData>
  <autoFilter ref="C5:E105" xr:uid="{72D471A6-7E18-4740-9FCE-7792717078C1}"/>
  <mergeCells count="13">
    <mergeCell ref="C4:E4"/>
    <mergeCell ref="G9:L9"/>
    <mergeCell ref="G11:H11"/>
    <mergeCell ref="I11:J11"/>
    <mergeCell ref="K11:L11"/>
    <mergeCell ref="G10:L10"/>
    <mergeCell ref="G12:L12"/>
    <mergeCell ref="G4:L4"/>
    <mergeCell ref="G6:L6"/>
    <mergeCell ref="G8:L8"/>
    <mergeCell ref="G5:L5"/>
    <mergeCell ref="G7:L7"/>
    <mergeCell ref="G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61EB-F041-4921-B063-CD55615688EF}">
  <dimension ref="B2:J102"/>
  <sheetViews>
    <sheetView workbookViewId="0">
      <selection activeCell="L13" sqref="L13"/>
    </sheetView>
  </sheetViews>
  <sheetFormatPr defaultRowHeight="14.4" x14ac:dyDescent="0.3"/>
  <cols>
    <col min="2" max="2" width="14.5546875" bestFit="1" customWidth="1"/>
    <col min="3" max="3" width="9.5546875" bestFit="1" customWidth="1"/>
  </cols>
  <sheetData>
    <row r="2" spans="2:10" x14ac:dyDescent="0.3">
      <c r="B2" s="6" t="s">
        <v>3</v>
      </c>
      <c r="C2" s="7" t="s">
        <v>4</v>
      </c>
      <c r="D2" s="6" t="s">
        <v>5</v>
      </c>
    </row>
    <row r="3" spans="2:10" x14ac:dyDescent="0.3">
      <c r="B3" s="6">
        <v>3</v>
      </c>
      <c r="C3" s="7">
        <v>4.508</v>
      </c>
      <c r="D3" s="6">
        <v>19.202000000000002</v>
      </c>
    </row>
    <row r="4" spans="2:10" x14ac:dyDescent="0.3">
      <c r="B4" s="6">
        <v>4</v>
      </c>
      <c r="C4" s="7">
        <v>9.6000000000000002E-2</v>
      </c>
      <c r="D4" s="6">
        <v>7.734</v>
      </c>
    </row>
    <row r="5" spans="2:10" x14ac:dyDescent="0.3">
      <c r="B5" s="6">
        <v>4</v>
      </c>
      <c r="C5" s="7">
        <v>3.133</v>
      </c>
      <c r="D5" s="6">
        <v>13.811</v>
      </c>
    </row>
    <row r="6" spans="2:10" x14ac:dyDescent="0.3">
      <c r="B6" s="6">
        <v>6</v>
      </c>
      <c r="C6" s="7">
        <v>7.9089999999999998</v>
      </c>
      <c r="D6" s="6">
        <v>53.018000000000001</v>
      </c>
    </row>
    <row r="7" spans="2:10" x14ac:dyDescent="0.3">
      <c r="B7" s="6">
        <v>8</v>
      </c>
      <c r="C7" s="7">
        <v>7.8109999999999999</v>
      </c>
      <c r="D7" s="6">
        <v>55.298999999999999</v>
      </c>
    </row>
    <row r="8" spans="2:10" x14ac:dyDescent="0.3">
      <c r="B8" s="6">
        <v>6</v>
      </c>
      <c r="C8" s="7">
        <v>3.2109999999999999</v>
      </c>
      <c r="D8" s="6">
        <v>17.821999999999999</v>
      </c>
    </row>
    <row r="9" spans="2:10" x14ac:dyDescent="0.3">
      <c r="B9" s="6">
        <v>3</v>
      </c>
      <c r="C9" s="7">
        <v>6.0629999999999997</v>
      </c>
      <c r="D9" s="6">
        <v>29.888999999999999</v>
      </c>
    </row>
    <row r="10" spans="2:10" x14ac:dyDescent="0.3">
      <c r="B10" s="6">
        <v>5</v>
      </c>
      <c r="C10" s="7">
        <v>3.4129999999999998</v>
      </c>
      <c r="D10" s="6">
        <v>17.263999999999999</v>
      </c>
    </row>
    <row r="11" spans="2:10" x14ac:dyDescent="0.3">
      <c r="B11" s="6">
        <v>4</v>
      </c>
      <c r="C11" s="7">
        <v>4.41</v>
      </c>
      <c r="D11" s="6">
        <v>20.347999999999999</v>
      </c>
    </row>
    <row r="12" spans="2:10" x14ac:dyDescent="0.3">
      <c r="B12" s="6">
        <v>3</v>
      </c>
      <c r="C12" s="7">
        <v>6.173</v>
      </c>
      <c r="D12" s="6">
        <v>30.861999999999998</v>
      </c>
    </row>
    <row r="13" spans="2:10" x14ac:dyDescent="0.3">
      <c r="B13" s="6">
        <v>3</v>
      </c>
      <c r="C13" s="7">
        <v>7.3529999999999998</v>
      </c>
      <c r="D13" s="6">
        <v>42.036000000000001</v>
      </c>
      <c r="G13" s="17" t="s">
        <v>13</v>
      </c>
      <c r="H13" s="17"/>
      <c r="I13" s="14" t="s">
        <v>17</v>
      </c>
      <c r="J13" s="14"/>
    </row>
    <row r="14" spans="2:10" x14ac:dyDescent="0.3">
      <c r="B14" s="6">
        <v>7</v>
      </c>
      <c r="C14" s="7">
        <v>0.42299999999999999</v>
      </c>
      <c r="D14" s="6">
        <v>12.132</v>
      </c>
      <c r="G14" s="27"/>
      <c r="H14" s="27"/>
      <c r="I14" s="27"/>
      <c r="J14" s="27"/>
    </row>
    <row r="15" spans="2:10" x14ac:dyDescent="0.3">
      <c r="B15" s="6">
        <v>7</v>
      </c>
      <c r="C15" s="7">
        <v>4.218</v>
      </c>
      <c r="D15" s="6">
        <v>24.318000000000001</v>
      </c>
      <c r="G15" s="4" t="s">
        <v>14</v>
      </c>
      <c r="H15" s="4"/>
      <c r="I15" s="4"/>
      <c r="J15" s="18">
        <f>SUM(B3:B102)</f>
        <v>529</v>
      </c>
    </row>
    <row r="16" spans="2:10" x14ac:dyDescent="0.3">
      <c r="B16" s="6">
        <v>3</v>
      </c>
      <c r="C16" s="7">
        <v>4.274</v>
      </c>
      <c r="D16" s="6">
        <v>17.672000000000001</v>
      </c>
      <c r="G16" s="19" t="s">
        <v>15</v>
      </c>
      <c r="H16" s="19"/>
      <c r="I16" s="19"/>
      <c r="J16" s="1">
        <f>AVERAGE(C:C)</f>
        <v>4.07714</v>
      </c>
    </row>
    <row r="17" spans="2:10" x14ac:dyDescent="0.3">
      <c r="B17" s="6">
        <v>3</v>
      </c>
      <c r="C17" s="7">
        <v>2.9079999999999999</v>
      </c>
      <c r="D17" s="6">
        <v>11.397</v>
      </c>
      <c r="G17" s="28" t="s">
        <v>16</v>
      </c>
      <c r="H17" s="28"/>
      <c r="I17" s="28"/>
      <c r="J17" s="29">
        <f>SUM(D:D)</f>
        <v>2441.7689999999993</v>
      </c>
    </row>
    <row r="18" spans="2:10" x14ac:dyDescent="0.3">
      <c r="B18" s="6">
        <v>4</v>
      </c>
      <c r="C18" s="7">
        <v>4.26</v>
      </c>
      <c r="D18" s="6">
        <v>19.466000000000001</v>
      </c>
      <c r="G18" s="31"/>
      <c r="H18" s="26"/>
      <c r="I18" s="26"/>
      <c r="J18" s="32"/>
    </row>
    <row r="19" spans="2:10" x14ac:dyDescent="0.3">
      <c r="B19" s="6">
        <v>5</v>
      </c>
      <c r="C19" s="7">
        <v>5.7190000000000003</v>
      </c>
      <c r="D19" s="6">
        <v>30.547999999999998</v>
      </c>
      <c r="G19" s="33"/>
      <c r="H19" s="34"/>
      <c r="I19" s="34"/>
      <c r="J19" s="35"/>
    </row>
    <row r="20" spans="2:10" x14ac:dyDescent="0.3">
      <c r="B20" s="6">
        <v>8</v>
      </c>
      <c r="C20" s="7">
        <v>6.08</v>
      </c>
      <c r="D20" s="6">
        <v>38.49</v>
      </c>
      <c r="G20" s="30" t="s">
        <v>18</v>
      </c>
      <c r="H20" s="30"/>
      <c r="I20" s="30"/>
      <c r="J20" s="30"/>
    </row>
    <row r="21" spans="2:10" x14ac:dyDescent="0.3">
      <c r="B21" s="6">
        <v>6</v>
      </c>
      <c r="C21" s="7">
        <v>7.7110000000000003</v>
      </c>
      <c r="D21" s="6">
        <v>50.985999999999997</v>
      </c>
      <c r="G21" s="4" t="s">
        <v>14</v>
      </c>
      <c r="H21" s="4"/>
      <c r="I21" s="4"/>
      <c r="J21" s="18">
        <f>SUMIF(B3:B102,"3")</f>
        <v>66</v>
      </c>
    </row>
    <row r="22" spans="2:10" x14ac:dyDescent="0.3">
      <c r="B22" s="6">
        <v>8</v>
      </c>
      <c r="C22" s="7">
        <v>3.9769999999999999</v>
      </c>
      <c r="D22" s="6">
        <v>25.132999999999999</v>
      </c>
      <c r="G22" s="19" t="s">
        <v>15</v>
      </c>
      <c r="H22" s="19"/>
      <c r="I22" s="19"/>
      <c r="J22" s="1">
        <f>AVERAGEIF(B3:B102,"3",C3:C102)</f>
        <v>3.6857727272727274</v>
      </c>
    </row>
    <row r="23" spans="2:10" x14ac:dyDescent="0.3">
      <c r="B23" s="6">
        <v>4</v>
      </c>
      <c r="C23" s="7">
        <v>4.7329999999999997</v>
      </c>
      <c r="D23" s="6">
        <v>22.073</v>
      </c>
      <c r="G23" s="4" t="s">
        <v>16</v>
      </c>
      <c r="H23" s="4"/>
      <c r="I23" s="4"/>
      <c r="J23" s="18">
        <f>SUMIF(B3:B102,"3",D3:D102)</f>
        <v>405.53300000000002</v>
      </c>
    </row>
    <row r="24" spans="2:10" x14ac:dyDescent="0.3">
      <c r="B24" s="6">
        <v>6</v>
      </c>
      <c r="C24" s="7">
        <v>6.1260000000000003</v>
      </c>
      <c r="D24" s="6">
        <v>35.939</v>
      </c>
    </row>
    <row r="25" spans="2:10" x14ac:dyDescent="0.3">
      <c r="B25" s="6">
        <v>5</v>
      </c>
      <c r="C25" s="7">
        <v>2.0510000000000002</v>
      </c>
      <c r="D25" s="6">
        <v>12.209</v>
      </c>
    </row>
    <row r="26" spans="2:10" x14ac:dyDescent="0.3">
      <c r="B26" s="6">
        <v>7</v>
      </c>
      <c r="C26" s="7">
        <v>4.875</v>
      </c>
      <c r="D26" s="6">
        <v>28.042999999999999</v>
      </c>
    </row>
    <row r="27" spans="2:10" x14ac:dyDescent="0.3">
      <c r="B27" s="6">
        <v>4</v>
      </c>
      <c r="C27" s="7">
        <v>3.6349999999999998</v>
      </c>
      <c r="D27" s="6">
        <v>16.516999999999999</v>
      </c>
    </row>
    <row r="28" spans="2:10" x14ac:dyDescent="0.3">
      <c r="B28" s="6">
        <v>3</v>
      </c>
      <c r="C28" s="7">
        <v>1.407</v>
      </c>
      <c r="D28" s="6">
        <v>6.6230000000000002</v>
      </c>
    </row>
    <row r="29" spans="2:10" x14ac:dyDescent="0.3">
      <c r="B29" s="6">
        <v>7</v>
      </c>
      <c r="C29" s="7">
        <v>0.50800000000000001</v>
      </c>
      <c r="D29" s="6">
        <v>12.647</v>
      </c>
    </row>
    <row r="30" spans="2:10" x14ac:dyDescent="0.3">
      <c r="B30" s="6">
        <v>8</v>
      </c>
      <c r="C30" s="7">
        <v>4.3780000000000001</v>
      </c>
      <c r="D30" s="6">
        <v>26.532</v>
      </c>
    </row>
    <row r="31" spans="2:10" x14ac:dyDescent="0.3">
      <c r="B31" s="6">
        <v>5</v>
      </c>
      <c r="C31" s="7">
        <v>0.156</v>
      </c>
      <c r="D31" s="6">
        <v>9.3330000000000002</v>
      </c>
    </row>
    <row r="32" spans="2:10" x14ac:dyDescent="0.3">
      <c r="B32" s="6">
        <v>4</v>
      </c>
      <c r="C32" s="7">
        <v>1.2989999999999999</v>
      </c>
      <c r="D32" s="6">
        <v>8.8369999999999997</v>
      </c>
    </row>
    <row r="33" spans="2:4" x14ac:dyDescent="0.3">
      <c r="B33" s="6">
        <v>8</v>
      </c>
      <c r="C33" s="7">
        <v>3.8639999999999999</v>
      </c>
      <c r="D33" s="6">
        <v>24.172000000000001</v>
      </c>
    </row>
    <row r="34" spans="2:4" x14ac:dyDescent="0.3">
      <c r="B34" s="6">
        <v>3</v>
      </c>
      <c r="C34" s="7">
        <v>1.923</v>
      </c>
      <c r="D34" s="6">
        <v>8.1</v>
      </c>
    </row>
    <row r="35" spans="2:4" x14ac:dyDescent="0.3">
      <c r="B35" s="6">
        <v>8</v>
      </c>
      <c r="C35" s="7">
        <v>0.93200000000000005</v>
      </c>
      <c r="D35" s="6">
        <v>15.038</v>
      </c>
    </row>
    <row r="36" spans="2:4" x14ac:dyDescent="0.3">
      <c r="B36" s="6">
        <v>6</v>
      </c>
      <c r="C36" s="7">
        <v>6.5940000000000003</v>
      </c>
      <c r="D36" s="6">
        <v>39.965000000000003</v>
      </c>
    </row>
    <row r="37" spans="2:4" x14ac:dyDescent="0.3">
      <c r="B37" s="6">
        <v>3</v>
      </c>
      <c r="C37" s="7">
        <v>4.0830000000000002</v>
      </c>
      <c r="D37" s="6">
        <v>17.170999999999999</v>
      </c>
    </row>
    <row r="38" spans="2:4" x14ac:dyDescent="0.3">
      <c r="B38" s="6">
        <v>3</v>
      </c>
      <c r="C38" s="7">
        <v>7.5430000000000001</v>
      </c>
      <c r="D38" s="6">
        <v>43.978000000000002</v>
      </c>
    </row>
    <row r="39" spans="2:4" x14ac:dyDescent="0.3">
      <c r="B39" s="6">
        <v>4</v>
      </c>
      <c r="C39" s="7">
        <v>2.9660000000000002</v>
      </c>
      <c r="D39" s="6">
        <v>13.119</v>
      </c>
    </row>
    <row r="40" spans="2:4" x14ac:dyDescent="0.3">
      <c r="B40" s="6">
        <v>6</v>
      </c>
      <c r="C40" s="7">
        <v>7.2830000000000004</v>
      </c>
      <c r="D40" s="6">
        <v>46.453000000000003</v>
      </c>
    </row>
    <row r="41" spans="2:4" x14ac:dyDescent="0.3">
      <c r="B41" s="6">
        <v>7</v>
      </c>
      <c r="C41" s="7">
        <v>6.5330000000000004</v>
      </c>
      <c r="D41" s="6">
        <v>41.357999999999997</v>
      </c>
    </row>
    <row r="42" spans="2:4" x14ac:dyDescent="0.3">
      <c r="B42" s="6">
        <v>6</v>
      </c>
      <c r="C42" s="7">
        <v>7.7750000000000004</v>
      </c>
      <c r="D42" s="6">
        <v>51.142000000000003</v>
      </c>
    </row>
    <row r="43" spans="2:4" x14ac:dyDescent="0.3">
      <c r="B43" s="6">
        <v>4</v>
      </c>
      <c r="C43" s="7">
        <v>0.14000000000000001</v>
      </c>
      <c r="D43" s="6">
        <v>7.3360000000000003</v>
      </c>
    </row>
    <row r="44" spans="2:4" x14ac:dyDescent="0.3">
      <c r="B44" s="6">
        <v>6</v>
      </c>
      <c r="C44" s="7">
        <v>2.754</v>
      </c>
      <c r="D44" s="6">
        <v>15.725</v>
      </c>
    </row>
    <row r="45" spans="2:4" x14ac:dyDescent="0.3">
      <c r="B45" s="6">
        <v>6</v>
      </c>
      <c r="C45" s="7">
        <v>3.5910000000000002</v>
      </c>
      <c r="D45" s="6">
        <v>19.771000000000001</v>
      </c>
    </row>
    <row r="46" spans="2:4" x14ac:dyDescent="0.3">
      <c r="B46" s="6">
        <v>5</v>
      </c>
      <c r="C46" s="7">
        <v>1.5569999999999999</v>
      </c>
      <c r="D46" s="6">
        <v>10.429</v>
      </c>
    </row>
    <row r="47" spans="2:4" x14ac:dyDescent="0.3">
      <c r="B47" s="6">
        <v>4</v>
      </c>
      <c r="C47" s="7">
        <v>1.954</v>
      </c>
      <c r="D47" s="6">
        <v>9.7420000000000009</v>
      </c>
    </row>
    <row r="48" spans="2:4" x14ac:dyDescent="0.3">
      <c r="B48" s="6">
        <v>3</v>
      </c>
      <c r="C48" s="7">
        <v>2.0609999999999999</v>
      </c>
      <c r="D48" s="6">
        <v>8.9239999999999995</v>
      </c>
    </row>
    <row r="49" spans="2:4" x14ac:dyDescent="0.3">
      <c r="B49" s="6">
        <v>4</v>
      </c>
      <c r="C49" s="7">
        <v>3.7970000000000002</v>
      </c>
      <c r="D49" s="6">
        <v>16.702999999999999</v>
      </c>
    </row>
    <row r="50" spans="2:4" x14ac:dyDescent="0.3">
      <c r="B50" s="6">
        <v>4</v>
      </c>
      <c r="C50" s="7">
        <v>4.7789999999999999</v>
      </c>
      <c r="D50" s="6">
        <v>22.701000000000001</v>
      </c>
    </row>
    <row r="51" spans="2:4" x14ac:dyDescent="0.3">
      <c r="B51" s="6">
        <v>3</v>
      </c>
      <c r="C51" s="7">
        <v>5.6349999999999998</v>
      </c>
      <c r="D51" s="6">
        <v>26.882000000000001</v>
      </c>
    </row>
    <row r="52" spans="2:4" x14ac:dyDescent="0.3">
      <c r="B52" s="6">
        <v>5</v>
      </c>
      <c r="C52" s="7">
        <v>3.9129999999999998</v>
      </c>
      <c r="D52" s="6">
        <v>19.106000000000002</v>
      </c>
    </row>
    <row r="53" spans="2:4" x14ac:dyDescent="0.3">
      <c r="B53" s="6">
        <v>6</v>
      </c>
      <c r="C53" s="7">
        <v>6.7030000000000003</v>
      </c>
      <c r="D53" s="6">
        <v>40.601999999999997</v>
      </c>
    </row>
    <row r="54" spans="2:4" x14ac:dyDescent="0.3">
      <c r="B54" s="6">
        <v>6</v>
      </c>
      <c r="C54" s="7">
        <v>4.13</v>
      </c>
      <c r="D54" s="6">
        <v>22.184000000000001</v>
      </c>
    </row>
    <row r="55" spans="2:4" x14ac:dyDescent="0.3">
      <c r="B55" s="6">
        <v>4</v>
      </c>
      <c r="C55" s="7">
        <v>0.77100000000000002</v>
      </c>
      <c r="D55" s="6">
        <v>7.8920000000000003</v>
      </c>
    </row>
    <row r="56" spans="2:4" x14ac:dyDescent="0.3">
      <c r="B56" s="6">
        <v>7</v>
      </c>
      <c r="C56" s="7">
        <v>6.0490000000000004</v>
      </c>
      <c r="D56" s="6">
        <v>36.652999999999999</v>
      </c>
    </row>
    <row r="57" spans="2:4" x14ac:dyDescent="0.3">
      <c r="B57" s="6">
        <v>8</v>
      </c>
      <c r="C57" s="7">
        <v>7.5910000000000002</v>
      </c>
      <c r="D57" s="6">
        <v>53.158000000000001</v>
      </c>
    </row>
    <row r="58" spans="2:4" x14ac:dyDescent="0.3">
      <c r="B58" s="6">
        <v>7</v>
      </c>
      <c r="C58" s="7">
        <v>2.9129999999999998</v>
      </c>
      <c r="D58" s="6">
        <v>18.238</v>
      </c>
    </row>
    <row r="59" spans="2:4" x14ac:dyDescent="0.3">
      <c r="B59" s="6">
        <v>8</v>
      </c>
      <c r="C59" s="7">
        <v>7.641</v>
      </c>
      <c r="D59" s="6">
        <v>53.359000000000002</v>
      </c>
    </row>
    <row r="60" spans="2:4" x14ac:dyDescent="0.3">
      <c r="B60" s="6">
        <v>7</v>
      </c>
      <c r="C60" s="7">
        <v>7.649</v>
      </c>
      <c r="D60" s="6">
        <v>51.582999999999998</v>
      </c>
    </row>
    <row r="61" spans="2:4" x14ac:dyDescent="0.3">
      <c r="B61" s="6">
        <v>3</v>
      </c>
      <c r="C61" s="7">
        <v>6.1980000000000004</v>
      </c>
      <c r="D61" s="6">
        <v>31.236000000000001</v>
      </c>
    </row>
    <row r="62" spans="2:4" x14ac:dyDescent="0.3">
      <c r="B62" s="6">
        <v>8</v>
      </c>
      <c r="C62" s="7">
        <v>7.468</v>
      </c>
      <c r="D62" s="6">
        <v>51.343000000000004</v>
      </c>
    </row>
    <row r="63" spans="2:4" x14ac:dyDescent="0.3">
      <c r="B63" s="6">
        <v>6</v>
      </c>
      <c r="C63" s="7">
        <v>0.376</v>
      </c>
      <c r="D63" s="6">
        <v>10.522</v>
      </c>
    </row>
    <row r="64" spans="2:4" x14ac:dyDescent="0.3">
      <c r="B64" s="6">
        <v>4</v>
      </c>
      <c r="C64" s="7">
        <v>2.4380000000000002</v>
      </c>
      <c r="D64" s="6">
        <v>10.843999999999999</v>
      </c>
    </row>
    <row r="65" spans="2:4" x14ac:dyDescent="0.3">
      <c r="B65" s="6">
        <v>6</v>
      </c>
      <c r="C65" s="7">
        <v>3.6059999999999999</v>
      </c>
      <c r="D65" s="6">
        <v>19.59</v>
      </c>
    </row>
    <row r="66" spans="2:4" x14ac:dyDescent="0.3">
      <c r="B66" s="6">
        <v>3</v>
      </c>
      <c r="C66" s="7">
        <v>4.8689999999999998</v>
      </c>
      <c r="D66" s="6">
        <v>21.379000000000001</v>
      </c>
    </row>
    <row r="67" spans="2:4" x14ac:dyDescent="0.3">
      <c r="B67" s="6">
        <v>7</v>
      </c>
      <c r="C67" s="7">
        <v>0.13</v>
      </c>
      <c r="D67" s="6">
        <v>12.590999999999999</v>
      </c>
    </row>
    <row r="68" spans="2:4" x14ac:dyDescent="0.3">
      <c r="B68" s="6">
        <v>6</v>
      </c>
      <c r="C68" s="7">
        <v>2.1419999999999999</v>
      </c>
      <c r="D68" s="6">
        <v>13.561999999999999</v>
      </c>
    </row>
    <row r="69" spans="2:4" x14ac:dyDescent="0.3">
      <c r="B69" s="6">
        <v>4</v>
      </c>
      <c r="C69" s="7">
        <v>5.4729999999999999</v>
      </c>
      <c r="D69" s="6">
        <v>27.568999999999999</v>
      </c>
    </row>
    <row r="70" spans="2:4" x14ac:dyDescent="0.3">
      <c r="B70" s="6">
        <v>3</v>
      </c>
      <c r="C70" s="7">
        <v>0.55000000000000004</v>
      </c>
      <c r="D70" s="6">
        <v>6.1849999999999996</v>
      </c>
    </row>
    <row r="71" spans="2:4" x14ac:dyDescent="0.3">
      <c r="B71" s="6">
        <v>4</v>
      </c>
      <c r="C71" s="7">
        <v>1.395</v>
      </c>
      <c r="D71" s="6">
        <v>8.92</v>
      </c>
    </row>
    <row r="72" spans="2:4" x14ac:dyDescent="0.3">
      <c r="B72" s="6">
        <v>6</v>
      </c>
      <c r="C72" s="7">
        <v>3.948</v>
      </c>
      <c r="D72" s="6">
        <v>21.4</v>
      </c>
    </row>
    <row r="73" spans="2:4" x14ac:dyDescent="0.3">
      <c r="B73" s="6">
        <v>4</v>
      </c>
      <c r="C73" s="7">
        <v>3.7360000000000002</v>
      </c>
      <c r="D73" s="6">
        <v>16.606000000000002</v>
      </c>
    </row>
    <row r="74" spans="2:4" x14ac:dyDescent="0.3">
      <c r="B74" s="6">
        <v>5</v>
      </c>
      <c r="C74" s="7">
        <v>2.5179999999999998</v>
      </c>
      <c r="D74" s="6">
        <v>13.416</v>
      </c>
    </row>
    <row r="75" spans="2:4" x14ac:dyDescent="0.3">
      <c r="B75" s="6">
        <v>3</v>
      </c>
      <c r="C75" s="7">
        <v>4.633</v>
      </c>
      <c r="D75" s="6">
        <v>20.398</v>
      </c>
    </row>
    <row r="76" spans="2:4" x14ac:dyDescent="0.3">
      <c r="B76" s="6">
        <v>3</v>
      </c>
      <c r="C76" s="7">
        <v>1.629</v>
      </c>
      <c r="D76" s="6">
        <v>7.0140000000000002</v>
      </c>
    </row>
    <row r="77" spans="2:4" x14ac:dyDescent="0.3">
      <c r="B77" s="6">
        <v>4</v>
      </c>
      <c r="C77" s="7">
        <v>6.9539999999999997</v>
      </c>
      <c r="D77" s="6">
        <v>39.951999999999998</v>
      </c>
    </row>
    <row r="78" spans="2:4" x14ac:dyDescent="0.3">
      <c r="B78" s="6">
        <v>3</v>
      </c>
      <c r="C78" s="7">
        <v>0.80300000000000005</v>
      </c>
      <c r="D78" s="6">
        <v>6.2169999999999996</v>
      </c>
    </row>
    <row r="79" spans="2:4" x14ac:dyDescent="0.3">
      <c r="B79" s="6">
        <v>5</v>
      </c>
      <c r="C79" s="7">
        <v>6.3789999999999996</v>
      </c>
      <c r="D79" s="6">
        <v>36.746000000000002</v>
      </c>
    </row>
    <row r="80" spans="2:4" x14ac:dyDescent="0.3">
      <c r="B80" s="6">
        <v>8</v>
      </c>
      <c r="C80" s="7">
        <v>5.9850000000000003</v>
      </c>
      <c r="D80" s="6">
        <v>38.277999999999999</v>
      </c>
    </row>
    <row r="81" spans="2:4" x14ac:dyDescent="0.3">
      <c r="B81" s="6">
        <v>7</v>
      </c>
      <c r="C81" s="7">
        <v>7.4509999999999996</v>
      </c>
      <c r="D81" s="6">
        <v>49.543999999999997</v>
      </c>
    </row>
    <row r="82" spans="2:4" x14ac:dyDescent="0.3">
      <c r="B82" s="6">
        <v>3</v>
      </c>
      <c r="C82" s="7">
        <v>0.80500000000000005</v>
      </c>
      <c r="D82" s="6">
        <v>6.3490000000000002</v>
      </c>
    </row>
    <row r="83" spans="2:4" x14ac:dyDescent="0.3">
      <c r="B83" s="6">
        <v>7</v>
      </c>
      <c r="C83" s="7">
        <v>7.9569999999999999</v>
      </c>
      <c r="D83" s="6">
        <v>54.320999999999998</v>
      </c>
    </row>
    <row r="84" spans="2:4" x14ac:dyDescent="0.3">
      <c r="B84" s="6">
        <v>8</v>
      </c>
      <c r="C84" s="7">
        <v>2.262</v>
      </c>
      <c r="D84" s="6">
        <v>17.704999999999998</v>
      </c>
    </row>
    <row r="85" spans="2:4" x14ac:dyDescent="0.3">
      <c r="B85" s="6">
        <v>4</v>
      </c>
      <c r="C85" s="7">
        <v>7.41</v>
      </c>
      <c r="D85" s="6">
        <v>44.098999999999997</v>
      </c>
    </row>
    <row r="86" spans="2:4" x14ac:dyDescent="0.3">
      <c r="B86" s="6">
        <v>5</v>
      </c>
      <c r="C86" s="7">
        <v>3.1970000000000001</v>
      </c>
      <c r="D86" s="6">
        <v>16.106000000000002</v>
      </c>
    </row>
    <row r="87" spans="2:4" x14ac:dyDescent="0.3">
      <c r="B87" s="6">
        <v>8</v>
      </c>
      <c r="C87" s="7">
        <v>1.982</v>
      </c>
      <c r="D87" s="6">
        <v>16.460999999999999</v>
      </c>
    </row>
    <row r="88" spans="2:4" x14ac:dyDescent="0.3">
      <c r="B88" s="6">
        <v>8</v>
      </c>
      <c r="C88" s="7">
        <v>6.2009999999999996</v>
      </c>
      <c r="D88" s="6">
        <v>39.957000000000001</v>
      </c>
    </row>
    <row r="89" spans="2:4" x14ac:dyDescent="0.3">
      <c r="B89" s="6">
        <v>7</v>
      </c>
      <c r="C89" s="7">
        <v>4.0670000000000002</v>
      </c>
      <c r="D89" s="6">
        <v>23.149000000000001</v>
      </c>
    </row>
    <row r="90" spans="2:4" x14ac:dyDescent="0.3">
      <c r="B90" s="6">
        <v>3</v>
      </c>
      <c r="C90" s="7">
        <v>1.0329999999999999</v>
      </c>
      <c r="D90" s="6">
        <v>6.0529999999999999</v>
      </c>
    </row>
    <row r="91" spans="2:4" x14ac:dyDescent="0.3">
      <c r="B91" s="6">
        <v>5</v>
      </c>
      <c r="C91" s="7">
        <v>1.8029999999999999</v>
      </c>
      <c r="D91" s="6">
        <v>11.253</v>
      </c>
    </row>
    <row r="92" spans="2:4" x14ac:dyDescent="0.3">
      <c r="B92" s="6">
        <v>7</v>
      </c>
      <c r="C92" s="7">
        <v>6.3760000000000003</v>
      </c>
      <c r="D92" s="6">
        <v>40.024000000000001</v>
      </c>
    </row>
    <row r="93" spans="2:4" x14ac:dyDescent="0.3">
      <c r="B93" s="6">
        <v>7</v>
      </c>
      <c r="C93" s="7">
        <v>4.1820000000000004</v>
      </c>
      <c r="D93" s="6">
        <v>24.393999999999998</v>
      </c>
    </row>
    <row r="94" spans="2:4" x14ac:dyDescent="0.3">
      <c r="B94" s="6">
        <v>8</v>
      </c>
      <c r="C94" s="7">
        <v>2.73</v>
      </c>
      <c r="D94" s="6">
        <v>19.564</v>
      </c>
    </row>
    <row r="95" spans="2:4" x14ac:dyDescent="0.3">
      <c r="B95" s="6">
        <v>4</v>
      </c>
      <c r="C95" s="7">
        <v>5.0270000000000001</v>
      </c>
      <c r="D95" s="6">
        <v>23.916</v>
      </c>
    </row>
    <row r="96" spans="2:4" x14ac:dyDescent="0.3">
      <c r="B96" s="6">
        <v>8</v>
      </c>
      <c r="C96" s="7">
        <v>6.4710000000000001</v>
      </c>
      <c r="D96" s="6">
        <v>42.426000000000002</v>
      </c>
    </row>
    <row r="97" spans="2:4" x14ac:dyDescent="0.3">
      <c r="B97" s="6">
        <v>8</v>
      </c>
      <c r="C97" s="7">
        <v>3.919</v>
      </c>
      <c r="D97" s="6">
        <v>24.451000000000001</v>
      </c>
    </row>
    <row r="98" spans="2:4" x14ac:dyDescent="0.3">
      <c r="B98" s="6">
        <v>6</v>
      </c>
      <c r="C98" s="7">
        <v>3.5609999999999999</v>
      </c>
      <c r="D98" s="6">
        <v>19.128</v>
      </c>
    </row>
    <row r="99" spans="2:4" x14ac:dyDescent="0.3">
      <c r="B99" s="6">
        <v>3</v>
      </c>
      <c r="C99" s="7">
        <v>0.30099999999999999</v>
      </c>
      <c r="D99" s="6">
        <v>5.609</v>
      </c>
    </row>
    <row r="100" spans="2:4" x14ac:dyDescent="0.3">
      <c r="B100" s="6">
        <v>4</v>
      </c>
      <c r="C100" s="7">
        <v>7.1630000000000003</v>
      </c>
      <c r="D100" s="6">
        <v>41.444000000000003</v>
      </c>
    </row>
    <row r="101" spans="2:4" x14ac:dyDescent="0.3">
      <c r="B101" s="6">
        <v>7</v>
      </c>
      <c r="C101" s="7">
        <v>0.309</v>
      </c>
      <c r="D101" s="6">
        <v>12.026999999999999</v>
      </c>
    </row>
    <row r="102" spans="2:4" x14ac:dyDescent="0.3">
      <c r="B102" s="6">
        <v>3</v>
      </c>
      <c r="C102" s="7">
        <v>6.335</v>
      </c>
      <c r="D102" s="6">
        <v>32.356999999999999</v>
      </c>
    </row>
  </sheetData>
  <autoFilter ref="B2:D102" xr:uid="{3D2061EB-F041-4921-B063-CD55615688EF}"/>
  <mergeCells count="12">
    <mergeCell ref="G22:I22"/>
    <mergeCell ref="G23:I23"/>
    <mergeCell ref="G20:J20"/>
    <mergeCell ref="G14:J14"/>
    <mergeCell ref="G18:J18"/>
    <mergeCell ref="G19:J19"/>
    <mergeCell ref="G13:H13"/>
    <mergeCell ref="G15:I15"/>
    <mergeCell ref="G16:I16"/>
    <mergeCell ref="G17:I17"/>
    <mergeCell ref="I13:J13"/>
    <mergeCell ref="G21:I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808E-2BC0-4024-AC8F-2639E197E34E}">
  <dimension ref="A3:B10"/>
  <sheetViews>
    <sheetView workbookViewId="0">
      <selection activeCell="R11" sqref="R11"/>
    </sheetView>
  </sheetViews>
  <sheetFormatPr defaultRowHeight="14.4" x14ac:dyDescent="0.3"/>
  <cols>
    <col min="1" max="1" width="12.44140625" bestFit="1" customWidth="1"/>
    <col min="2" max="2" width="20.88671875" bestFit="1" customWidth="1"/>
    <col min="3" max="11" width="6" bestFit="1" customWidth="1"/>
    <col min="12" max="12" width="4" bestFit="1" customWidth="1"/>
    <col min="13" max="13" width="6" bestFit="1" customWidth="1"/>
    <col min="14" max="14" width="5" bestFit="1" customWidth="1"/>
    <col min="15" max="17" width="6" bestFit="1" customWidth="1"/>
    <col min="18" max="49" width="7" bestFit="1" customWidth="1"/>
    <col min="50" max="50" width="6" bestFit="1" customWidth="1"/>
    <col min="51" max="54" width="7" bestFit="1" customWidth="1"/>
    <col min="55" max="55" width="5" bestFit="1" customWidth="1"/>
    <col min="56" max="78" width="7" bestFit="1" customWidth="1"/>
    <col min="79" max="79" width="6" bestFit="1" customWidth="1"/>
    <col min="80" max="101" width="7" bestFit="1" customWidth="1"/>
    <col min="102" max="102" width="10.5546875" bestFit="1" customWidth="1"/>
  </cols>
  <sheetData>
    <row r="3" spans="1:2" x14ac:dyDescent="0.3">
      <c r="A3" s="15" t="s">
        <v>11</v>
      </c>
      <c r="B3" t="s">
        <v>19</v>
      </c>
    </row>
    <row r="4" spans="1:2" x14ac:dyDescent="0.3">
      <c r="A4" s="16">
        <v>3</v>
      </c>
      <c r="B4" s="20">
        <v>66</v>
      </c>
    </row>
    <row r="5" spans="1:2" x14ac:dyDescent="0.3">
      <c r="A5" s="16">
        <v>4</v>
      </c>
      <c r="B5" s="20">
        <v>84</v>
      </c>
    </row>
    <row r="6" spans="1:2" x14ac:dyDescent="0.3">
      <c r="A6" s="16">
        <v>5</v>
      </c>
      <c r="B6" s="20">
        <v>50</v>
      </c>
    </row>
    <row r="7" spans="1:2" x14ac:dyDescent="0.3">
      <c r="A7" s="16">
        <v>6</v>
      </c>
      <c r="B7" s="20">
        <v>96</v>
      </c>
    </row>
    <row r="8" spans="1:2" x14ac:dyDescent="0.3">
      <c r="A8" s="16">
        <v>7</v>
      </c>
      <c r="B8" s="20">
        <v>105</v>
      </c>
    </row>
    <row r="9" spans="1:2" x14ac:dyDescent="0.3">
      <c r="A9" s="16">
        <v>8</v>
      </c>
      <c r="B9" s="20">
        <v>128</v>
      </c>
    </row>
    <row r="10" spans="1:2" x14ac:dyDescent="0.3">
      <c r="A10" s="16" t="s">
        <v>12</v>
      </c>
      <c r="B10" s="20">
        <v>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47AB-1C28-400D-B46A-8E2A4596A6E6}">
  <dimension ref="B3:K103"/>
  <sheetViews>
    <sheetView tabSelected="1" workbookViewId="0">
      <selection activeCell="M13" sqref="M13"/>
    </sheetView>
  </sheetViews>
  <sheetFormatPr defaultRowHeight="14.4" x14ac:dyDescent="0.3"/>
  <cols>
    <col min="2" max="2" width="14.5546875" bestFit="1" customWidth="1"/>
  </cols>
  <sheetData>
    <row r="3" spans="2:11" x14ac:dyDescent="0.3">
      <c r="B3" s="6" t="s">
        <v>3</v>
      </c>
      <c r="C3" s="7" t="s">
        <v>4</v>
      </c>
      <c r="D3" s="6" t="s">
        <v>5</v>
      </c>
      <c r="E3" s="6" t="s">
        <v>5</v>
      </c>
    </row>
    <row r="4" spans="2:11" x14ac:dyDescent="0.3">
      <c r="B4" s="6">
        <v>3</v>
      </c>
      <c r="C4" s="7">
        <v>4.508</v>
      </c>
      <c r="D4" s="6">
        <v>19.202000000000002</v>
      </c>
      <c r="E4" s="6">
        <v>19.202000000000002</v>
      </c>
    </row>
    <row r="5" spans="2:11" x14ac:dyDescent="0.3">
      <c r="B5" s="6">
        <v>4</v>
      </c>
      <c r="C5" s="7">
        <v>9.6000000000000002E-2</v>
      </c>
      <c r="D5" s="6">
        <v>7.734</v>
      </c>
      <c r="E5" s="6">
        <v>7.734</v>
      </c>
    </row>
    <row r="6" spans="2:11" x14ac:dyDescent="0.3">
      <c r="B6" s="6">
        <v>4</v>
      </c>
      <c r="C6" s="7">
        <v>3.133</v>
      </c>
      <c r="D6" s="6">
        <v>13.811</v>
      </c>
      <c r="E6" s="6">
        <v>13.811</v>
      </c>
    </row>
    <row r="7" spans="2:11" x14ac:dyDescent="0.3">
      <c r="B7" s="6">
        <v>6</v>
      </c>
      <c r="C7" s="7">
        <v>7.9089999999999998</v>
      </c>
      <c r="D7" s="6">
        <v>53.018000000000001</v>
      </c>
      <c r="E7" s="6">
        <v>53.018000000000001</v>
      </c>
    </row>
    <row r="8" spans="2:11" x14ac:dyDescent="0.3">
      <c r="B8" s="6">
        <v>8</v>
      </c>
      <c r="C8" s="7">
        <v>7.8109999999999999</v>
      </c>
      <c r="D8" s="6">
        <v>55.298999999999999</v>
      </c>
      <c r="E8" s="6">
        <v>55.298999999999999</v>
      </c>
    </row>
    <row r="9" spans="2:11" x14ac:dyDescent="0.3">
      <c r="B9" s="6">
        <v>6</v>
      </c>
      <c r="C9" s="7">
        <v>3.2109999999999999</v>
      </c>
      <c r="D9" s="6">
        <v>17.821999999999999</v>
      </c>
      <c r="E9" s="6">
        <v>17.821999999999999</v>
      </c>
    </row>
    <row r="10" spans="2:11" x14ac:dyDescent="0.3">
      <c r="B10" s="6">
        <v>3</v>
      </c>
      <c r="C10" s="7">
        <v>6.0629999999999997</v>
      </c>
      <c r="D10" s="6">
        <v>29.888999999999999</v>
      </c>
      <c r="E10" s="6">
        <v>29.888999999999999</v>
      </c>
    </row>
    <row r="11" spans="2:11" x14ac:dyDescent="0.3">
      <c r="B11" s="6">
        <v>5</v>
      </c>
      <c r="C11" s="7">
        <v>3.4129999999999998</v>
      </c>
      <c r="D11" s="6">
        <v>17.263999999999999</v>
      </c>
      <c r="E11" s="6">
        <v>17.263999999999999</v>
      </c>
    </row>
    <row r="12" spans="2:11" x14ac:dyDescent="0.3">
      <c r="B12" s="6">
        <v>4</v>
      </c>
      <c r="C12" s="7">
        <v>4.41</v>
      </c>
      <c r="D12" s="6">
        <v>20.347999999999999</v>
      </c>
      <c r="E12" s="6">
        <v>20.347999999999999</v>
      </c>
    </row>
    <row r="13" spans="2:11" x14ac:dyDescent="0.3">
      <c r="B13" s="6">
        <v>3</v>
      </c>
      <c r="C13" s="7">
        <v>6.173</v>
      </c>
      <c r="D13" s="6">
        <v>30.861999999999998</v>
      </c>
      <c r="E13" s="6">
        <v>30.861999999999998</v>
      </c>
    </row>
    <row r="14" spans="2:11" x14ac:dyDescent="0.3">
      <c r="B14" s="6">
        <v>3</v>
      </c>
      <c r="C14" s="7">
        <v>7.3529999999999998</v>
      </c>
      <c r="D14" s="6">
        <v>42.036000000000001</v>
      </c>
      <c r="E14" s="6">
        <v>42.036000000000001</v>
      </c>
      <c r="G14" s="22" t="s">
        <v>20</v>
      </c>
      <c r="H14" s="23"/>
      <c r="I14" s="24"/>
      <c r="J14" s="25"/>
      <c r="K14" s="22" t="s">
        <v>23</v>
      </c>
    </row>
    <row r="15" spans="2:11" x14ac:dyDescent="0.3">
      <c r="B15" s="6">
        <v>7</v>
      </c>
      <c r="C15" s="7">
        <v>0.42299999999999999</v>
      </c>
      <c r="D15" s="6">
        <v>12.132</v>
      </c>
      <c r="E15" s="6">
        <v>12.132</v>
      </c>
      <c r="G15" s="4" t="s">
        <v>14</v>
      </c>
      <c r="H15" s="4"/>
      <c r="I15" s="4"/>
      <c r="J15" s="18">
        <f>COUNT(B:B)</f>
        <v>100</v>
      </c>
      <c r="K15" s="18">
        <f>COUNTIF(B:B,"5")</f>
        <v>10</v>
      </c>
    </row>
    <row r="16" spans="2:11" x14ac:dyDescent="0.3">
      <c r="B16" s="6">
        <v>7</v>
      </c>
      <c r="C16" s="7">
        <v>4.218</v>
      </c>
      <c r="D16" s="6">
        <v>24.318000000000001</v>
      </c>
      <c r="E16" s="6">
        <v>24.318000000000001</v>
      </c>
      <c r="G16" s="19" t="s">
        <v>15</v>
      </c>
      <c r="H16" s="19"/>
      <c r="I16" s="19"/>
      <c r="J16" s="1">
        <f>COUNT(C:C)</f>
        <v>100</v>
      </c>
      <c r="K16" s="1">
        <f>COUNTIF(C:C,"4.218")</f>
        <v>1</v>
      </c>
    </row>
    <row r="17" spans="2:11" x14ac:dyDescent="0.3">
      <c r="B17" s="6">
        <v>3</v>
      </c>
      <c r="C17" s="7">
        <v>4.274</v>
      </c>
      <c r="D17" s="6">
        <v>17.672000000000001</v>
      </c>
      <c r="E17" s="6">
        <v>17.672000000000001</v>
      </c>
      <c r="G17" s="4" t="s">
        <v>16</v>
      </c>
      <c r="H17" s="4"/>
      <c r="I17" s="4"/>
      <c r="J17" s="18">
        <f>COUNT(D:D)</f>
        <v>100</v>
      </c>
      <c r="K17" s="18">
        <f>COUNTIF(D:D,"Absent")</f>
        <v>0</v>
      </c>
    </row>
    <row r="18" spans="2:11" x14ac:dyDescent="0.3">
      <c r="B18" s="6">
        <v>3</v>
      </c>
      <c r="C18" s="7">
        <v>2.9079999999999999</v>
      </c>
      <c r="D18" s="6">
        <v>11.397</v>
      </c>
      <c r="E18" s="6">
        <v>11.397</v>
      </c>
      <c r="G18" s="21"/>
      <c r="H18" s="21"/>
      <c r="I18" s="21"/>
      <c r="J18" s="21"/>
      <c r="K18" s="21"/>
    </row>
    <row r="19" spans="2:11" x14ac:dyDescent="0.3">
      <c r="B19" s="6">
        <v>4</v>
      </c>
      <c r="C19" s="7">
        <v>4.26</v>
      </c>
      <c r="D19" s="6">
        <v>19.466000000000001</v>
      </c>
      <c r="E19" s="6">
        <v>19.466000000000001</v>
      </c>
      <c r="G19" s="21" t="s">
        <v>21</v>
      </c>
      <c r="H19" s="21"/>
      <c r="I19" s="21"/>
      <c r="J19" s="21"/>
      <c r="K19" s="21"/>
    </row>
    <row r="20" spans="2:11" x14ac:dyDescent="0.3">
      <c r="B20" s="6">
        <v>5</v>
      </c>
      <c r="C20" s="7">
        <v>5.7190000000000003</v>
      </c>
      <c r="D20" s="6">
        <v>30.547999999999998</v>
      </c>
      <c r="E20" s="6">
        <v>30.547999999999998</v>
      </c>
      <c r="G20" s="4" t="s">
        <v>14</v>
      </c>
      <c r="H20" s="4"/>
      <c r="I20" s="4"/>
      <c r="J20" s="18">
        <f>COUNT(B:B)</f>
        <v>100</v>
      </c>
      <c r="K20" s="18">
        <f>COUNTIF(B:B,"5")</f>
        <v>10</v>
      </c>
    </row>
    <row r="21" spans="2:11" x14ac:dyDescent="0.3">
      <c r="B21" s="6">
        <v>8</v>
      </c>
      <c r="C21" s="7">
        <v>6.08</v>
      </c>
      <c r="D21" s="6">
        <v>38.49</v>
      </c>
      <c r="E21" s="6">
        <v>38.49</v>
      </c>
      <c r="G21" s="19" t="s">
        <v>15</v>
      </c>
      <c r="H21" s="19"/>
      <c r="I21" s="19"/>
      <c r="J21" s="1">
        <f>COUNT(C:C)</f>
        <v>100</v>
      </c>
      <c r="K21" s="1">
        <f>COUNTIF(C:C,"4.218")</f>
        <v>1</v>
      </c>
    </row>
    <row r="22" spans="2:11" x14ac:dyDescent="0.3">
      <c r="B22" s="6">
        <v>6</v>
      </c>
      <c r="C22" s="7">
        <v>7.7110000000000003</v>
      </c>
      <c r="D22" s="6">
        <v>50.985999999999997</v>
      </c>
      <c r="E22" s="6">
        <v>50.985999999999997</v>
      </c>
      <c r="G22" s="4" t="s">
        <v>16</v>
      </c>
      <c r="H22" s="4"/>
      <c r="I22" s="4"/>
      <c r="J22" s="18">
        <f>COUNT(E:E)</f>
        <v>98</v>
      </c>
      <c r="K22" s="18">
        <f>COUNTIF(E:E,"Absent")</f>
        <v>2</v>
      </c>
    </row>
    <row r="23" spans="2:11" x14ac:dyDescent="0.3">
      <c r="B23" s="6">
        <v>8</v>
      </c>
      <c r="C23" s="7">
        <v>3.9769999999999999</v>
      </c>
      <c r="D23" s="6">
        <v>25.132999999999999</v>
      </c>
      <c r="E23" s="6">
        <v>25.132999999999999</v>
      </c>
    </row>
    <row r="24" spans="2:11" x14ac:dyDescent="0.3">
      <c r="B24" s="6">
        <v>4</v>
      </c>
      <c r="C24" s="7">
        <v>4.7329999999999997</v>
      </c>
      <c r="D24" s="6">
        <v>22.073</v>
      </c>
      <c r="E24" s="6">
        <v>22.073</v>
      </c>
    </row>
    <row r="25" spans="2:11" x14ac:dyDescent="0.3">
      <c r="B25" s="6">
        <v>6</v>
      </c>
      <c r="C25" s="7">
        <v>6.1260000000000003</v>
      </c>
      <c r="D25" s="6">
        <v>35.939</v>
      </c>
      <c r="E25" s="6">
        <v>35.939</v>
      </c>
    </row>
    <row r="26" spans="2:11" x14ac:dyDescent="0.3">
      <c r="B26" s="6">
        <v>5</v>
      </c>
      <c r="C26" s="7">
        <v>2.0510000000000002</v>
      </c>
      <c r="D26" s="6">
        <v>12.209</v>
      </c>
      <c r="E26" s="6">
        <v>12.209</v>
      </c>
    </row>
    <row r="27" spans="2:11" x14ac:dyDescent="0.3">
      <c r="B27" s="6">
        <v>7</v>
      </c>
      <c r="C27" s="7">
        <v>4.875</v>
      </c>
      <c r="D27" s="6">
        <v>28.042999999999999</v>
      </c>
      <c r="E27" s="6">
        <v>28.042999999999999</v>
      </c>
    </row>
    <row r="28" spans="2:11" x14ac:dyDescent="0.3">
      <c r="B28" s="6">
        <v>4</v>
      </c>
      <c r="C28" s="7">
        <v>3.6349999999999998</v>
      </c>
      <c r="D28" s="6">
        <v>16.516999999999999</v>
      </c>
      <c r="E28" s="6">
        <v>16.516999999999999</v>
      </c>
    </row>
    <row r="29" spans="2:11" x14ac:dyDescent="0.3">
      <c r="B29" s="6">
        <v>3</v>
      </c>
      <c r="C29" s="7">
        <v>1.407</v>
      </c>
      <c r="D29" s="6">
        <v>6.6230000000000002</v>
      </c>
      <c r="E29" s="6">
        <v>6.6230000000000002</v>
      </c>
    </row>
    <row r="30" spans="2:11" x14ac:dyDescent="0.3">
      <c r="B30" s="6">
        <v>7</v>
      </c>
      <c r="C30" s="7">
        <v>0.50800000000000001</v>
      </c>
      <c r="D30" s="6">
        <v>12.647</v>
      </c>
      <c r="E30" s="6">
        <v>12.647</v>
      </c>
    </row>
    <row r="31" spans="2:11" x14ac:dyDescent="0.3">
      <c r="B31" s="6">
        <v>8</v>
      </c>
      <c r="C31" s="7">
        <v>4.3780000000000001</v>
      </c>
      <c r="D31" s="6">
        <v>26.532</v>
      </c>
      <c r="E31" s="6">
        <v>26.532</v>
      </c>
    </row>
    <row r="32" spans="2:11" x14ac:dyDescent="0.3">
      <c r="B32" s="6">
        <v>5</v>
      </c>
      <c r="C32" s="7">
        <v>0.156</v>
      </c>
      <c r="D32" s="6">
        <v>9.3330000000000002</v>
      </c>
      <c r="E32" s="6">
        <v>9.3330000000000002</v>
      </c>
    </row>
    <row r="33" spans="2:5" x14ac:dyDescent="0.3">
      <c r="B33" s="6">
        <v>4</v>
      </c>
      <c r="C33" s="7">
        <v>1.2989999999999999</v>
      </c>
      <c r="D33" s="6">
        <v>8.8369999999999997</v>
      </c>
      <c r="E33" s="6">
        <v>8.8369999999999997</v>
      </c>
    </row>
    <row r="34" spans="2:5" x14ac:dyDescent="0.3">
      <c r="B34" s="6">
        <v>8</v>
      </c>
      <c r="C34" s="7">
        <v>3.8639999999999999</v>
      </c>
      <c r="D34" s="6">
        <v>24.172000000000001</v>
      </c>
      <c r="E34" s="6">
        <v>24.172000000000001</v>
      </c>
    </row>
    <row r="35" spans="2:5" x14ac:dyDescent="0.3">
      <c r="B35" s="6">
        <v>3</v>
      </c>
      <c r="C35" s="7">
        <v>1.923</v>
      </c>
      <c r="D35" s="6">
        <v>8.1</v>
      </c>
      <c r="E35" s="6">
        <v>8.1</v>
      </c>
    </row>
    <row r="36" spans="2:5" x14ac:dyDescent="0.3">
      <c r="B36" s="6">
        <v>8</v>
      </c>
      <c r="C36" s="7">
        <v>0.93200000000000005</v>
      </c>
      <c r="D36" s="6">
        <v>15.038</v>
      </c>
      <c r="E36" s="6">
        <v>15.038</v>
      </c>
    </row>
    <row r="37" spans="2:5" x14ac:dyDescent="0.3">
      <c r="B37" s="6">
        <v>6</v>
      </c>
      <c r="C37" s="7">
        <v>6.5940000000000003</v>
      </c>
      <c r="D37" s="6">
        <v>39.965000000000003</v>
      </c>
      <c r="E37" s="6">
        <v>39.965000000000003</v>
      </c>
    </row>
    <row r="38" spans="2:5" x14ac:dyDescent="0.3">
      <c r="B38" s="6">
        <v>3</v>
      </c>
      <c r="C38" s="7">
        <v>4.0830000000000002</v>
      </c>
      <c r="D38" s="6">
        <v>17.170999999999999</v>
      </c>
      <c r="E38" s="6">
        <v>17.170999999999999</v>
      </c>
    </row>
    <row r="39" spans="2:5" x14ac:dyDescent="0.3">
      <c r="B39" s="6">
        <v>3</v>
      </c>
      <c r="C39" s="7">
        <v>7.5430000000000001</v>
      </c>
      <c r="D39" s="6">
        <v>43.978000000000002</v>
      </c>
      <c r="E39" s="6">
        <v>43.978000000000002</v>
      </c>
    </row>
    <row r="40" spans="2:5" x14ac:dyDescent="0.3">
      <c r="B40" s="6">
        <v>4</v>
      </c>
      <c r="C40" s="7">
        <v>2.9660000000000002</v>
      </c>
      <c r="D40" s="6">
        <v>13.119</v>
      </c>
      <c r="E40" s="6">
        <v>13.119</v>
      </c>
    </row>
    <row r="41" spans="2:5" x14ac:dyDescent="0.3">
      <c r="B41" s="6">
        <v>6</v>
      </c>
      <c r="C41" s="7">
        <v>7.2830000000000004</v>
      </c>
      <c r="D41" s="6">
        <v>46.453000000000003</v>
      </c>
      <c r="E41" s="6">
        <v>46.453000000000003</v>
      </c>
    </row>
    <row r="42" spans="2:5" x14ac:dyDescent="0.3">
      <c r="B42" s="6">
        <v>7</v>
      </c>
      <c r="C42" s="7">
        <v>6.5330000000000004</v>
      </c>
      <c r="D42" s="6">
        <v>41.357999999999997</v>
      </c>
      <c r="E42" s="6">
        <v>41.357999999999997</v>
      </c>
    </row>
    <row r="43" spans="2:5" x14ac:dyDescent="0.3">
      <c r="B43" s="6">
        <v>6</v>
      </c>
      <c r="C43" s="7">
        <v>7.7750000000000004</v>
      </c>
      <c r="D43" s="6">
        <v>51.142000000000003</v>
      </c>
      <c r="E43" s="6">
        <v>51.142000000000003</v>
      </c>
    </row>
    <row r="44" spans="2:5" x14ac:dyDescent="0.3">
      <c r="B44" s="6">
        <v>4</v>
      </c>
      <c r="C44" s="7">
        <v>0.14000000000000001</v>
      </c>
      <c r="D44" s="6">
        <v>7.3360000000000003</v>
      </c>
      <c r="E44" s="6">
        <v>7.3360000000000003</v>
      </c>
    </row>
    <row r="45" spans="2:5" x14ac:dyDescent="0.3">
      <c r="B45" s="6">
        <v>6</v>
      </c>
      <c r="C45" s="7">
        <v>2.754</v>
      </c>
      <c r="D45" s="6">
        <v>15.725</v>
      </c>
      <c r="E45" s="6">
        <v>15.725</v>
      </c>
    </row>
    <row r="46" spans="2:5" x14ac:dyDescent="0.3">
      <c r="B46" s="6">
        <v>6</v>
      </c>
      <c r="C46" s="7">
        <v>3.5910000000000002</v>
      </c>
      <c r="D46" s="6">
        <v>19.771000000000001</v>
      </c>
      <c r="E46" s="6">
        <v>19.771000000000001</v>
      </c>
    </row>
    <row r="47" spans="2:5" x14ac:dyDescent="0.3">
      <c r="B47" s="6">
        <v>5</v>
      </c>
      <c r="C47" s="7">
        <v>1.5569999999999999</v>
      </c>
      <c r="D47" s="6">
        <v>10.429</v>
      </c>
      <c r="E47" s="6">
        <v>10.429</v>
      </c>
    </row>
    <row r="48" spans="2:5" x14ac:dyDescent="0.3">
      <c r="B48" s="6">
        <v>4</v>
      </c>
      <c r="C48" s="7">
        <v>1.954</v>
      </c>
      <c r="D48" s="6">
        <v>9.7420000000000009</v>
      </c>
      <c r="E48" s="6">
        <v>9.7420000000000009</v>
      </c>
    </row>
    <row r="49" spans="2:5" x14ac:dyDescent="0.3">
      <c r="B49" s="6">
        <v>3</v>
      </c>
      <c r="C49" s="7">
        <v>2.0609999999999999</v>
      </c>
      <c r="D49" s="6">
        <v>8.9239999999999995</v>
      </c>
      <c r="E49" s="6">
        <v>8.9239999999999995</v>
      </c>
    </row>
    <row r="50" spans="2:5" x14ac:dyDescent="0.3">
      <c r="B50" s="6">
        <v>4</v>
      </c>
      <c r="C50" s="7">
        <v>3.7970000000000002</v>
      </c>
      <c r="D50" s="6">
        <v>16.702999999999999</v>
      </c>
      <c r="E50" s="6">
        <v>16.702999999999999</v>
      </c>
    </row>
    <row r="51" spans="2:5" x14ac:dyDescent="0.3">
      <c r="B51" s="6">
        <v>4</v>
      </c>
      <c r="C51" s="7">
        <v>4.7789999999999999</v>
      </c>
      <c r="D51" s="6">
        <v>22.701000000000001</v>
      </c>
      <c r="E51" s="6">
        <v>22.701000000000001</v>
      </c>
    </row>
    <row r="52" spans="2:5" x14ac:dyDescent="0.3">
      <c r="B52" s="6">
        <v>3</v>
      </c>
      <c r="C52" s="7">
        <v>5.6349999999999998</v>
      </c>
      <c r="D52" s="6">
        <v>26.882000000000001</v>
      </c>
      <c r="E52" s="6">
        <v>26.882000000000001</v>
      </c>
    </row>
    <row r="53" spans="2:5" x14ac:dyDescent="0.3">
      <c r="B53" s="6">
        <v>5</v>
      </c>
      <c r="C53" s="7">
        <v>3.9129999999999998</v>
      </c>
      <c r="D53" s="6">
        <v>19.106000000000002</v>
      </c>
      <c r="E53" s="6">
        <v>19.106000000000002</v>
      </c>
    </row>
    <row r="54" spans="2:5" x14ac:dyDescent="0.3">
      <c r="B54" s="6">
        <v>6</v>
      </c>
      <c r="C54" s="7">
        <v>6.7030000000000003</v>
      </c>
      <c r="D54" s="6">
        <v>40.601999999999997</v>
      </c>
      <c r="E54" s="6">
        <v>40.601999999999997</v>
      </c>
    </row>
    <row r="55" spans="2:5" x14ac:dyDescent="0.3">
      <c r="B55" s="6">
        <v>6</v>
      </c>
      <c r="C55" s="7">
        <v>4.13</v>
      </c>
      <c r="D55" s="6">
        <v>22.184000000000001</v>
      </c>
      <c r="E55" s="6">
        <v>22.184000000000001</v>
      </c>
    </row>
    <row r="56" spans="2:5" x14ac:dyDescent="0.3">
      <c r="B56" s="6">
        <v>4</v>
      </c>
      <c r="C56" s="7">
        <v>0.77100000000000002</v>
      </c>
      <c r="D56" s="6">
        <v>7.8920000000000003</v>
      </c>
      <c r="E56" s="6">
        <v>7.8920000000000003</v>
      </c>
    </row>
    <row r="57" spans="2:5" x14ac:dyDescent="0.3">
      <c r="B57" s="6">
        <v>7</v>
      </c>
      <c r="C57" s="7">
        <v>6.0490000000000004</v>
      </c>
      <c r="D57" s="6">
        <v>36.652999999999999</v>
      </c>
      <c r="E57" s="6">
        <v>36.652999999999999</v>
      </c>
    </row>
    <row r="58" spans="2:5" x14ac:dyDescent="0.3">
      <c r="B58" s="6">
        <v>8</v>
      </c>
      <c r="C58" s="7">
        <v>7.5910000000000002</v>
      </c>
      <c r="D58" s="6">
        <v>53.158000000000001</v>
      </c>
      <c r="E58" s="6">
        <v>53.158000000000001</v>
      </c>
    </row>
    <row r="59" spans="2:5" x14ac:dyDescent="0.3">
      <c r="B59" s="6">
        <v>7</v>
      </c>
      <c r="C59" s="7">
        <v>2.9129999999999998</v>
      </c>
      <c r="D59" s="6">
        <v>18.238</v>
      </c>
      <c r="E59" s="6">
        <v>18.238</v>
      </c>
    </row>
    <row r="60" spans="2:5" x14ac:dyDescent="0.3">
      <c r="B60" s="6">
        <v>8</v>
      </c>
      <c r="C60" s="7">
        <v>7.641</v>
      </c>
      <c r="D60" s="6">
        <v>53.359000000000002</v>
      </c>
      <c r="E60" s="6">
        <v>53.359000000000002</v>
      </c>
    </row>
    <row r="61" spans="2:5" x14ac:dyDescent="0.3">
      <c r="B61" s="6">
        <v>7</v>
      </c>
      <c r="C61" s="7">
        <v>7.649</v>
      </c>
      <c r="D61" s="6">
        <v>51.582999999999998</v>
      </c>
      <c r="E61" s="6">
        <v>51.582999999999998</v>
      </c>
    </row>
    <row r="62" spans="2:5" x14ac:dyDescent="0.3">
      <c r="B62" s="6">
        <v>3</v>
      </c>
      <c r="C62" s="7">
        <v>6.1980000000000004</v>
      </c>
      <c r="D62" s="6">
        <v>31.236000000000001</v>
      </c>
      <c r="E62" s="6">
        <v>31.236000000000001</v>
      </c>
    </row>
    <row r="63" spans="2:5" x14ac:dyDescent="0.3">
      <c r="B63" s="6">
        <v>8</v>
      </c>
      <c r="C63" s="7">
        <v>7.468</v>
      </c>
      <c r="D63" s="6">
        <v>51.343000000000004</v>
      </c>
      <c r="E63" s="6">
        <v>51.343000000000004</v>
      </c>
    </row>
    <row r="64" spans="2:5" x14ac:dyDescent="0.3">
      <c r="B64" s="6">
        <v>6</v>
      </c>
      <c r="C64" s="7">
        <v>0.376</v>
      </c>
      <c r="D64" s="6">
        <v>10.522</v>
      </c>
      <c r="E64" s="6">
        <v>10.522</v>
      </c>
    </row>
    <row r="65" spans="2:5" x14ac:dyDescent="0.3">
      <c r="B65" s="6">
        <v>4</v>
      </c>
      <c r="C65" s="7">
        <v>2.4380000000000002</v>
      </c>
      <c r="D65" s="6">
        <v>10.843999999999999</v>
      </c>
      <c r="E65" s="6">
        <v>10.843999999999999</v>
      </c>
    </row>
    <row r="66" spans="2:5" x14ac:dyDescent="0.3">
      <c r="B66" s="6">
        <v>6</v>
      </c>
      <c r="C66" s="7">
        <v>3.6059999999999999</v>
      </c>
      <c r="D66" s="6">
        <v>19.59</v>
      </c>
      <c r="E66" s="6">
        <v>19.59</v>
      </c>
    </row>
    <row r="67" spans="2:5" x14ac:dyDescent="0.3">
      <c r="B67" s="6">
        <v>3</v>
      </c>
      <c r="C67" s="7">
        <v>4.8689999999999998</v>
      </c>
      <c r="D67" s="6">
        <v>21.379000000000001</v>
      </c>
      <c r="E67" s="6">
        <v>21.379000000000001</v>
      </c>
    </row>
    <row r="68" spans="2:5" x14ac:dyDescent="0.3">
      <c r="B68" s="6">
        <v>7</v>
      </c>
      <c r="C68" s="7">
        <v>0.13</v>
      </c>
      <c r="D68" s="6">
        <v>12.590999999999999</v>
      </c>
      <c r="E68" s="6">
        <v>12.590999999999999</v>
      </c>
    </row>
    <row r="69" spans="2:5" x14ac:dyDescent="0.3">
      <c r="B69" s="6">
        <v>6</v>
      </c>
      <c r="C69" s="7">
        <v>2.1419999999999999</v>
      </c>
      <c r="D69" s="6">
        <v>13.561999999999999</v>
      </c>
      <c r="E69" s="6">
        <v>13.561999999999999</v>
      </c>
    </row>
    <row r="70" spans="2:5" x14ac:dyDescent="0.3">
      <c r="B70" s="6">
        <v>4</v>
      </c>
      <c r="C70" s="7">
        <v>5.4729999999999999</v>
      </c>
      <c r="D70" s="6">
        <v>27.568999999999999</v>
      </c>
      <c r="E70" s="6">
        <v>27.568999999999999</v>
      </c>
    </row>
    <row r="71" spans="2:5" x14ac:dyDescent="0.3">
      <c r="B71" s="6">
        <v>3</v>
      </c>
      <c r="C71" s="7">
        <v>0.55000000000000004</v>
      </c>
      <c r="D71" s="6">
        <v>6.1849999999999996</v>
      </c>
      <c r="E71" s="6">
        <v>6.1849999999999996</v>
      </c>
    </row>
    <row r="72" spans="2:5" x14ac:dyDescent="0.3">
      <c r="B72" s="6">
        <v>4</v>
      </c>
      <c r="C72" s="7">
        <v>1.395</v>
      </c>
      <c r="D72" s="6">
        <v>8.92</v>
      </c>
      <c r="E72" s="6">
        <v>8.92</v>
      </c>
    </row>
    <row r="73" spans="2:5" x14ac:dyDescent="0.3">
      <c r="B73" s="6">
        <v>6</v>
      </c>
      <c r="C73" s="7">
        <v>3.948</v>
      </c>
      <c r="D73" s="6">
        <v>21.4</v>
      </c>
      <c r="E73" s="6" t="s">
        <v>22</v>
      </c>
    </row>
    <row r="74" spans="2:5" x14ac:dyDescent="0.3">
      <c r="B74" s="6">
        <v>4</v>
      </c>
      <c r="C74" s="7">
        <v>3.7360000000000002</v>
      </c>
      <c r="D74" s="6">
        <v>19.3</v>
      </c>
      <c r="E74" s="6">
        <v>19.3</v>
      </c>
    </row>
    <row r="75" spans="2:5" x14ac:dyDescent="0.3">
      <c r="B75" s="6">
        <v>5</v>
      </c>
      <c r="C75" s="7">
        <v>2.5179999999999998</v>
      </c>
      <c r="D75" s="6">
        <v>13.416</v>
      </c>
      <c r="E75" s="6">
        <v>13.416</v>
      </c>
    </row>
    <row r="76" spans="2:5" x14ac:dyDescent="0.3">
      <c r="B76" s="6">
        <v>3</v>
      </c>
      <c r="C76" s="7">
        <v>4.633</v>
      </c>
      <c r="D76" s="6">
        <v>20.398</v>
      </c>
      <c r="E76" s="6">
        <v>20.398</v>
      </c>
    </row>
    <row r="77" spans="2:5" x14ac:dyDescent="0.3">
      <c r="B77" s="6">
        <v>3</v>
      </c>
      <c r="C77" s="7">
        <v>1.629</v>
      </c>
      <c r="D77" s="6">
        <v>7.0140000000000002</v>
      </c>
      <c r="E77" s="6">
        <v>7.0140000000000002</v>
      </c>
    </row>
    <row r="78" spans="2:5" x14ac:dyDescent="0.3">
      <c r="B78" s="6">
        <v>4</v>
      </c>
      <c r="C78" s="7">
        <v>6.9539999999999997</v>
      </c>
      <c r="D78" s="6">
        <v>39.951999999999998</v>
      </c>
      <c r="E78" s="6">
        <v>39.951999999999998</v>
      </c>
    </row>
    <row r="79" spans="2:5" x14ac:dyDescent="0.3">
      <c r="B79" s="6">
        <v>3</v>
      </c>
      <c r="C79" s="7">
        <v>0.80300000000000005</v>
      </c>
      <c r="D79" s="6">
        <v>6.2169999999999996</v>
      </c>
      <c r="E79" s="6">
        <v>6.2169999999999996</v>
      </c>
    </row>
    <row r="80" spans="2:5" x14ac:dyDescent="0.3">
      <c r="B80" s="6">
        <v>5</v>
      </c>
      <c r="C80" s="7">
        <v>6.3789999999999996</v>
      </c>
      <c r="D80" s="6">
        <v>36.746000000000002</v>
      </c>
      <c r="E80" s="6">
        <v>36.746000000000002</v>
      </c>
    </row>
    <row r="81" spans="2:5" x14ac:dyDescent="0.3">
      <c r="B81" s="6">
        <v>8</v>
      </c>
      <c r="C81" s="7">
        <v>5.9850000000000003</v>
      </c>
      <c r="D81" s="6">
        <v>38.277999999999999</v>
      </c>
      <c r="E81" s="6">
        <v>38.277999999999999</v>
      </c>
    </row>
    <row r="82" spans="2:5" x14ac:dyDescent="0.3">
      <c r="B82" s="6">
        <v>7</v>
      </c>
      <c r="C82" s="7">
        <v>7.4509999999999996</v>
      </c>
      <c r="D82" s="6">
        <v>49.543999999999997</v>
      </c>
      <c r="E82" s="6">
        <v>49.543999999999997</v>
      </c>
    </row>
    <row r="83" spans="2:5" x14ac:dyDescent="0.3">
      <c r="B83" s="6">
        <v>3</v>
      </c>
      <c r="C83" s="7">
        <v>0.80500000000000005</v>
      </c>
      <c r="D83" s="6">
        <v>6.3490000000000002</v>
      </c>
      <c r="E83" s="6">
        <v>6.3490000000000002</v>
      </c>
    </row>
    <row r="84" spans="2:5" x14ac:dyDescent="0.3">
      <c r="B84" s="6">
        <v>7</v>
      </c>
      <c r="C84" s="7">
        <v>7.9569999999999999</v>
      </c>
      <c r="D84" s="6">
        <v>54.320999999999998</v>
      </c>
      <c r="E84" s="6">
        <v>54.320999999999998</v>
      </c>
    </row>
    <row r="85" spans="2:5" x14ac:dyDescent="0.3">
      <c r="B85" s="6">
        <v>8</v>
      </c>
      <c r="C85" s="7">
        <v>2.262</v>
      </c>
      <c r="D85" s="6">
        <v>17.704999999999998</v>
      </c>
      <c r="E85" s="6">
        <v>17.704999999999998</v>
      </c>
    </row>
    <row r="86" spans="2:5" x14ac:dyDescent="0.3">
      <c r="B86" s="6">
        <v>4</v>
      </c>
      <c r="C86" s="7">
        <v>7.41</v>
      </c>
      <c r="D86" s="6">
        <v>44.098999999999997</v>
      </c>
      <c r="E86" s="6">
        <v>44.098999999999997</v>
      </c>
    </row>
    <row r="87" spans="2:5" x14ac:dyDescent="0.3">
      <c r="B87" s="6">
        <v>5</v>
      </c>
      <c r="C87" s="7">
        <v>3.1970000000000001</v>
      </c>
      <c r="D87" s="6">
        <v>16.106000000000002</v>
      </c>
      <c r="E87" s="6">
        <v>16.106000000000002</v>
      </c>
    </row>
    <row r="88" spans="2:5" x14ac:dyDescent="0.3">
      <c r="B88" s="6">
        <v>8</v>
      </c>
      <c r="C88" s="7">
        <v>1.982</v>
      </c>
      <c r="D88" s="6">
        <v>16.460999999999999</v>
      </c>
      <c r="E88" s="6">
        <v>16.460999999999999</v>
      </c>
    </row>
    <row r="89" spans="2:5" x14ac:dyDescent="0.3">
      <c r="B89" s="6">
        <v>8</v>
      </c>
      <c r="C89" s="7">
        <v>6.2009999999999996</v>
      </c>
      <c r="D89" s="6">
        <v>39.957000000000001</v>
      </c>
      <c r="E89" s="6">
        <v>39.957000000000001</v>
      </c>
    </row>
    <row r="90" spans="2:5" x14ac:dyDescent="0.3">
      <c r="B90" s="6">
        <v>7</v>
      </c>
      <c r="C90" s="7">
        <v>4.0670000000000002</v>
      </c>
      <c r="D90" s="6">
        <v>23.149000000000001</v>
      </c>
      <c r="E90" s="6">
        <v>23.149000000000001</v>
      </c>
    </row>
    <row r="91" spans="2:5" x14ac:dyDescent="0.3">
      <c r="B91" s="6">
        <v>3</v>
      </c>
      <c r="C91" s="7">
        <v>1.0329999999999999</v>
      </c>
      <c r="D91" s="6">
        <v>6.0529999999999999</v>
      </c>
      <c r="E91" s="6">
        <v>6.0529999999999999</v>
      </c>
    </row>
    <row r="92" spans="2:5" x14ac:dyDescent="0.3">
      <c r="B92" s="6">
        <v>5</v>
      </c>
      <c r="C92" s="7">
        <v>1.8029999999999999</v>
      </c>
      <c r="D92" s="6">
        <v>11.253</v>
      </c>
      <c r="E92" s="6">
        <v>11.253</v>
      </c>
    </row>
    <row r="93" spans="2:5" x14ac:dyDescent="0.3">
      <c r="B93" s="6">
        <v>7</v>
      </c>
      <c r="C93" s="7">
        <v>6.3760000000000003</v>
      </c>
      <c r="D93" s="6">
        <v>40.024000000000001</v>
      </c>
      <c r="E93" s="6">
        <v>40.024000000000001</v>
      </c>
    </row>
    <row r="94" spans="2:5" x14ac:dyDescent="0.3">
      <c r="B94" s="6">
        <v>7</v>
      </c>
      <c r="C94" s="7">
        <v>4.1820000000000004</v>
      </c>
      <c r="D94" s="6">
        <v>24.393999999999998</v>
      </c>
      <c r="E94" s="6">
        <v>24.393999999999998</v>
      </c>
    </row>
    <row r="95" spans="2:5" x14ac:dyDescent="0.3">
      <c r="B95" s="6">
        <v>8</v>
      </c>
      <c r="C95" s="7">
        <v>2.73</v>
      </c>
      <c r="D95" s="6">
        <v>19.564</v>
      </c>
      <c r="E95" s="6">
        <v>19.564</v>
      </c>
    </row>
    <row r="96" spans="2:5" x14ac:dyDescent="0.3">
      <c r="B96" s="6">
        <v>4</v>
      </c>
      <c r="C96" s="7">
        <v>5.0270000000000001</v>
      </c>
      <c r="D96" s="6">
        <v>23.916</v>
      </c>
      <c r="E96" s="6">
        <v>23.916</v>
      </c>
    </row>
    <row r="97" spans="2:5" x14ac:dyDescent="0.3">
      <c r="B97" s="6">
        <v>8</v>
      </c>
      <c r="C97" s="7">
        <v>6.4710000000000001</v>
      </c>
      <c r="D97" s="6">
        <v>42.426000000000002</v>
      </c>
      <c r="E97" s="6">
        <v>42.426000000000002</v>
      </c>
    </row>
    <row r="98" spans="2:5" x14ac:dyDescent="0.3">
      <c r="B98" s="6">
        <v>8</v>
      </c>
      <c r="C98" s="7">
        <v>3.919</v>
      </c>
      <c r="D98" s="6">
        <v>24.451000000000001</v>
      </c>
      <c r="E98" s="6">
        <v>24.451000000000001</v>
      </c>
    </row>
    <row r="99" spans="2:5" x14ac:dyDescent="0.3">
      <c r="B99" s="6">
        <v>6</v>
      </c>
      <c r="C99" s="7">
        <v>3.5609999999999999</v>
      </c>
      <c r="D99" s="6">
        <v>19.128</v>
      </c>
      <c r="E99" s="6">
        <v>19.128</v>
      </c>
    </row>
    <row r="100" spans="2:5" x14ac:dyDescent="0.3">
      <c r="B100" s="6">
        <v>3</v>
      </c>
      <c r="C100" s="7">
        <v>0.30099999999999999</v>
      </c>
      <c r="D100" s="6">
        <v>5.609</v>
      </c>
      <c r="E100" s="6">
        <v>5.609</v>
      </c>
    </row>
    <row r="101" spans="2:5" x14ac:dyDescent="0.3">
      <c r="B101" s="6">
        <v>4</v>
      </c>
      <c r="C101" s="7">
        <v>7.1630000000000003</v>
      </c>
      <c r="D101" s="6">
        <v>41.444000000000003</v>
      </c>
      <c r="E101" s="6">
        <v>41.444000000000003</v>
      </c>
    </row>
    <row r="102" spans="2:5" x14ac:dyDescent="0.3">
      <c r="B102" s="6">
        <v>7</v>
      </c>
      <c r="C102" s="7">
        <v>0.309</v>
      </c>
      <c r="D102" s="6">
        <v>12.41</v>
      </c>
      <c r="E102" s="6" t="s">
        <v>22</v>
      </c>
    </row>
    <row r="103" spans="2:5" x14ac:dyDescent="0.3">
      <c r="B103" s="6">
        <v>3</v>
      </c>
      <c r="C103" s="7">
        <v>6.335</v>
      </c>
      <c r="D103" s="6">
        <v>32.356999999999999</v>
      </c>
      <c r="E103" s="6">
        <v>32.356999999999999</v>
      </c>
    </row>
  </sheetData>
  <mergeCells count="9">
    <mergeCell ref="G22:I22"/>
    <mergeCell ref="G18:K18"/>
    <mergeCell ref="H14:J14"/>
    <mergeCell ref="G15:I15"/>
    <mergeCell ref="G16:I16"/>
    <mergeCell ref="G17:I17"/>
    <mergeCell ref="G19:K19"/>
    <mergeCell ref="G20:I20"/>
    <mergeCell ref="G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Data Entry</vt:lpstr>
      <vt:lpstr>SUM,SUMIF,AVERAGE,AVERAGEIF</vt:lpstr>
      <vt:lpstr>PIVOT TABLE</vt:lpstr>
      <vt:lpstr>COUNT,COUNTIF</vt:lpstr>
      <vt:lpstr>Chart-2</vt:lpstr>
      <vt:lpstr>Chart-1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Tiwari</dc:creator>
  <cp:lastModifiedBy>Chanchal Tiwari</cp:lastModifiedBy>
  <dcterms:created xsi:type="dcterms:W3CDTF">2025-12-27T13:53:17Z</dcterms:created>
  <dcterms:modified xsi:type="dcterms:W3CDTF">2025-12-27T18:20:52Z</dcterms:modified>
</cp:coreProperties>
</file>